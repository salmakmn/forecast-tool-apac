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sanofi-my.sharepoint.com/personal/salma_kamoun_sanofi_com/Documents/Forecast Support/"/>
    </mc:Choice>
  </mc:AlternateContent>
  <xr:revisionPtr revIDLastSave="11" documentId="11_1935C4338FF832354CB78E98694AB111ADE64790" xr6:coauthVersionLast="47" xr6:coauthVersionMax="47" xr10:uidLastSave="{40F286DB-1577-426E-98DC-FF4F504D06DC}"/>
  <bookViews>
    <workbookView xWindow="-110" yWindow="-110" windowWidth="19420" windowHeight="11500" xr2:uid="{00000000-000D-0000-FFFF-FFFF00000000}"/>
  </bookViews>
  <sheets>
    <sheet name="Data_Historique" sheetId="1" r:id="rId1"/>
    <sheet name="trend_analysis " sheetId="2" r:id="rId2"/>
    <sheet name="Analyse_Tendances" sheetId="3" r:id="rId3"/>
    <sheet name="Forecast_2027" sheetId="4" r:id="rId4"/>
    <sheet name="Accuracy_Tracke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07" i="2" l="1"/>
  <c r="Q206" i="2"/>
  <c r="Q205" i="2"/>
  <c r="Q204" i="2"/>
  <c r="Q203" i="2"/>
  <c r="Q202" i="2"/>
  <c r="Q201" i="2"/>
  <c r="Q200" i="2"/>
  <c r="Q199" i="2"/>
  <c r="Q198" i="2"/>
  <c r="Q197" i="2"/>
  <c r="Q196" i="2"/>
  <c r="Q195" i="2"/>
  <c r="Q194" i="2"/>
  <c r="Q193" i="2"/>
  <c r="Q192" i="2"/>
  <c r="Q191" i="2"/>
  <c r="Q190" i="2"/>
  <c r="Q189" i="2"/>
  <c r="Q188" i="2"/>
  <c r="Q187" i="2"/>
  <c r="Q186" i="2"/>
  <c r="Q185" i="2"/>
  <c r="Q184" i="2"/>
  <c r="Q183" i="2"/>
  <c r="Q182" i="2"/>
  <c r="Q181" i="2"/>
  <c r="Q180" i="2"/>
  <c r="Q179" i="2"/>
  <c r="Q178" i="2"/>
  <c r="Q177" i="2"/>
  <c r="Q176" i="2"/>
  <c r="Q175" i="2"/>
  <c r="Q174" i="2"/>
  <c r="Q173" i="2"/>
  <c r="Q172" i="2"/>
  <c r="Q171" i="2"/>
  <c r="Q170" i="2"/>
  <c r="Q169" i="2"/>
  <c r="Q168" i="2"/>
  <c r="Q167" i="2"/>
  <c r="Q166" i="2"/>
  <c r="Q165" i="2"/>
  <c r="Q164" i="2"/>
  <c r="Q163" i="2"/>
  <c r="Q162" i="2"/>
  <c r="Q161" i="2"/>
  <c r="Q160" i="2"/>
  <c r="Q159" i="2"/>
  <c r="Q158" i="2"/>
  <c r="Q157" i="2"/>
  <c r="Q156" i="2"/>
  <c r="Q155" i="2"/>
  <c r="Q154" i="2"/>
  <c r="Q153" i="2"/>
  <c r="Q152" i="2"/>
  <c r="Q151" i="2"/>
  <c r="Q150" i="2"/>
  <c r="Q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30" i="2"/>
  <c r="Q129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Q2" i="2"/>
</calcChain>
</file>

<file path=xl/sharedStrings.xml><?xml version="1.0" encoding="utf-8"?>
<sst xmlns="http://schemas.openxmlformats.org/spreadsheetml/2006/main" count="13548" uniqueCount="2326">
  <si>
    <t>Perimeter</t>
  </si>
  <si>
    <t>GMID</t>
  </si>
  <si>
    <t>LMID</t>
  </si>
  <si>
    <t>MC</t>
  </si>
  <si>
    <t>Description</t>
  </si>
  <si>
    <t>Product Family</t>
  </si>
  <si>
    <t>LE</t>
  </si>
  <si>
    <t>Toll/Full</t>
  </si>
  <si>
    <t>Gal Type</t>
  </si>
  <si>
    <t>Dom/Exp</t>
  </si>
  <si>
    <t>GBU</t>
  </si>
  <si>
    <t>CMO</t>
  </si>
  <si>
    <t>Country/Perimeter</t>
  </si>
  <si>
    <t>LC</t>
  </si>
  <si>
    <t>Volume A25</t>
  </si>
  <si>
    <t>Volume B26</t>
  </si>
  <si>
    <t>Volume Q1_26</t>
  </si>
  <si>
    <t>Volume Q2_26</t>
  </si>
  <si>
    <t>Volume Q3_26</t>
  </si>
  <si>
    <t>Volume H27</t>
  </si>
  <si>
    <t>Volume B27</t>
  </si>
  <si>
    <t>Volume H28</t>
  </si>
  <si>
    <t>AV A25</t>
  </si>
  <si>
    <t>AV B26</t>
  </si>
  <si>
    <t>AV Q1_26</t>
  </si>
  <si>
    <t>AV Q2_26</t>
  </si>
  <si>
    <t>AV Q3_26</t>
  </si>
  <si>
    <t>AV H27</t>
  </si>
  <si>
    <t>AV B27</t>
  </si>
  <si>
    <t>AV H28</t>
  </si>
  <si>
    <t>Spend A25</t>
  </si>
  <si>
    <t>Spend B26</t>
  </si>
  <si>
    <t>Spend Q1_26</t>
  </si>
  <si>
    <t>Spend Q2_26</t>
  </si>
  <si>
    <t>Spend Q3_26</t>
  </si>
  <si>
    <t>Spend H27</t>
  </si>
  <si>
    <t>Spend B27</t>
  </si>
  <si>
    <t>Spend H28</t>
  </si>
  <si>
    <t>CMO (Supplier)</t>
  </si>
  <si>
    <t>APAC</t>
  </si>
  <si>
    <t>936342</t>
  </si>
  <si>
    <t>AAC05</t>
  </si>
  <si>
    <t>DAUNORUBICIN HCL (DZD)</t>
  </si>
  <si>
    <t>CERUBIDINE_PF/DAUNORUBICIN HCL</t>
  </si>
  <si>
    <t>S02510</t>
  </si>
  <si>
    <t>Full</t>
  </si>
  <si>
    <t>KG</t>
  </si>
  <si>
    <t>Exp</t>
  </si>
  <si>
    <t>EM API</t>
  </si>
  <si>
    <t>DZD(Heze) Pharmaceutical Co Ltd</t>
  </si>
  <si>
    <t>CIS</t>
  </si>
  <si>
    <t>SGD</t>
  </si>
  <si>
    <t>0.00</t>
  </si>
  <si>
    <t>1.28</t>
  </si>
  <si>
    <t>2.50</t>
  </si>
  <si>
    <t>3.53</t>
  </si>
  <si>
    <t>6.92</t>
  </si>
  <si>
    <t>98.66</t>
  </si>
  <si>
    <t>193.30</t>
  </si>
  <si>
    <t>915052</t>
  </si>
  <si>
    <t>LEFLUNOMIDE (ALEMBIC)</t>
  </si>
  <si>
    <t>ARAVA_PF/LEFLUNOMIDE</t>
  </si>
  <si>
    <t>ALEMBIC PHARMACEUTICALS LIMITED</t>
  </si>
  <si>
    <t>Russia</t>
  </si>
  <si>
    <t>0.10</t>
  </si>
  <si>
    <t>0.50</t>
  </si>
  <si>
    <t>5.18</t>
  </si>
  <si>
    <t>29.77</t>
  </si>
  <si>
    <t>159.76</t>
  </si>
  <si>
    <t>4.59</t>
  </si>
  <si>
    <t>832.09</t>
  </si>
  <si>
    <t>626742</t>
  </si>
  <si>
    <t>INP04</t>
  </si>
  <si>
    <t>LASIX 10 X 4ML</t>
  </si>
  <si>
    <t>LASIX_PF/FUROSEMIDE</t>
  </si>
  <si>
    <t>S00641</t>
  </si>
  <si>
    <t>Toll</t>
  </si>
  <si>
    <t>INJ-AMP</t>
  </si>
  <si>
    <t>Dom</t>
  </si>
  <si>
    <t>GenMed</t>
  </si>
  <si>
    <t>ELYSIUM</t>
  </si>
  <si>
    <t>India</t>
  </si>
  <si>
    <t>INR</t>
  </si>
  <si>
    <t>2,857.17</t>
  </si>
  <si>
    <t>3,027.86</t>
  </si>
  <si>
    <t>2,765.54</t>
  </si>
  <si>
    <t>2,935.87</t>
  </si>
  <si>
    <t>2,868.08</t>
  </si>
  <si>
    <t>2,830.07</t>
  </si>
  <si>
    <t>3,106.95</t>
  </si>
  <si>
    <t>2,993.97</t>
  </si>
  <si>
    <t>37.57</t>
  </si>
  <si>
    <t>37.96</t>
  </si>
  <si>
    <t>34.67</t>
  </si>
  <si>
    <t>35.48</t>
  </si>
  <si>
    <t>38.95</t>
  </si>
  <si>
    <t>37.54</t>
  </si>
  <si>
    <t>534.43</t>
  </si>
  <si>
    <t>495.11</t>
  </si>
  <si>
    <t>452.21</t>
  </si>
  <si>
    <t>480.07</t>
  </si>
  <si>
    <t>468.98</t>
  </si>
  <si>
    <t>462.77</t>
  </si>
  <si>
    <t>508.04</t>
  </si>
  <si>
    <t>489.57</t>
  </si>
  <si>
    <t>ELYSIUM PHARMACEUTICALS</t>
  </si>
  <si>
    <t>769647</t>
  </si>
  <si>
    <t>LASILACTONE 1X10</t>
  </si>
  <si>
    <t>TAB</t>
  </si>
  <si>
    <t>ZENTIVA</t>
  </si>
  <si>
    <t>8,740.86</t>
  </si>
  <si>
    <t>19.16</t>
  </si>
  <si>
    <t>572.76</t>
  </si>
  <si>
    <t>ADVENT</t>
  </si>
  <si>
    <t>645275</t>
  </si>
  <si>
    <t xml:space="preserve">AMARYL MV 1 MG 15'S </t>
  </si>
  <si>
    <t>METFORMIN_PF</t>
  </si>
  <si>
    <t>WINDLAS</t>
  </si>
  <si>
    <t>1,023.29</t>
  </si>
  <si>
    <t>1,013.33</t>
  </si>
  <si>
    <t>1,274.93</t>
  </si>
  <si>
    <t>1,411.16</t>
  </si>
  <si>
    <t>1,301.96</t>
  </si>
  <si>
    <t>1,066.66</t>
  </si>
  <si>
    <t>1,173.33</t>
  </si>
  <si>
    <t>7.29</t>
  </si>
  <si>
    <t>7.44</t>
  </si>
  <si>
    <t>9.36</t>
  </si>
  <si>
    <t>7.83</t>
  </si>
  <si>
    <t>8.62</t>
  </si>
  <si>
    <t>201.98</t>
  </si>
  <si>
    <t>193.91</t>
  </si>
  <si>
    <t>243.97</t>
  </si>
  <si>
    <t>270.04</t>
  </si>
  <si>
    <t>249.14</t>
  </si>
  <si>
    <t>204.12</t>
  </si>
  <si>
    <t>224.53</t>
  </si>
  <si>
    <t>645276</t>
  </si>
  <si>
    <t xml:space="preserve">AMARYL MV 2 MG 15'S </t>
  </si>
  <si>
    <t>1,902.90</t>
  </si>
  <si>
    <t>1,813.32</t>
  </si>
  <si>
    <t>2,438.24</t>
  </si>
  <si>
    <t>2,724.85</t>
  </si>
  <si>
    <t>2,458.19</t>
  </si>
  <si>
    <t>2,079.99</t>
  </si>
  <si>
    <t>2,293.32</t>
  </si>
  <si>
    <t>14.80</t>
  </si>
  <si>
    <t>14.29</t>
  </si>
  <si>
    <t>19.21</t>
  </si>
  <si>
    <t>16.39</t>
  </si>
  <si>
    <t>18.07</t>
  </si>
  <si>
    <t>372.42</t>
  </si>
  <si>
    <t>344.43</t>
  </si>
  <si>
    <t>463.13</t>
  </si>
  <si>
    <t>517.58</t>
  </si>
  <si>
    <t>466.92</t>
  </si>
  <si>
    <t>395.09</t>
  </si>
  <si>
    <t>435.61</t>
  </si>
  <si>
    <t>729219</t>
  </si>
  <si>
    <t>M-NEM 1000 MG (SAMRUDH)</t>
  </si>
  <si>
    <t>MEROPENEM_PF</t>
  </si>
  <si>
    <t>INJ-VIAL</t>
  </si>
  <si>
    <t>SAMRUDH</t>
  </si>
  <si>
    <t>80.27</t>
  </si>
  <si>
    <t>80.00</t>
  </si>
  <si>
    <t>20.00</t>
  </si>
  <si>
    <t>40.00</t>
  </si>
  <si>
    <t>5.50</t>
  </si>
  <si>
    <t>4.82</t>
  </si>
  <si>
    <t>1.21</t>
  </si>
  <si>
    <t>2.41</t>
  </si>
  <si>
    <t>169.75</t>
  </si>
  <si>
    <t>138.26</t>
  </si>
  <si>
    <t>34.57</t>
  </si>
  <si>
    <t>69.13</t>
  </si>
  <si>
    <t>SAMRUDH PHARMA</t>
  </si>
  <si>
    <t>728957</t>
  </si>
  <si>
    <t>M-NEM 500MG (SAMRUDH)</t>
  </si>
  <si>
    <t>10.00</t>
  </si>
  <si>
    <t>0.46</t>
  </si>
  <si>
    <t>0.81</t>
  </si>
  <si>
    <t>0.41</t>
  </si>
  <si>
    <t>14.25</t>
  </si>
  <si>
    <t>23.28</t>
  </si>
  <si>
    <t>11.64</t>
  </si>
  <si>
    <t>509021</t>
  </si>
  <si>
    <t>PROCTOSEDYL BD CREAM 20GM (PUR)</t>
  </si>
  <si>
    <t>BECLOMETASONE_PF</t>
  </si>
  <si>
    <t>CR/OINT</t>
  </si>
  <si>
    <t>ENCUBE</t>
  </si>
  <si>
    <t>1,219.63</t>
  </si>
  <si>
    <t>500.00</t>
  </si>
  <si>
    <t>850.00</t>
  </si>
  <si>
    <t>697.75</t>
  </si>
  <si>
    <t>797.75</t>
  </si>
  <si>
    <t>950.00</t>
  </si>
  <si>
    <t>1,150.00</t>
  </si>
  <si>
    <t>1,100.00</t>
  </si>
  <si>
    <t>5.35</t>
  </si>
  <si>
    <t>1.93</t>
  </si>
  <si>
    <t>3.27</t>
  </si>
  <si>
    <t>3.66</t>
  </si>
  <si>
    <t>4.43</t>
  </si>
  <si>
    <t>4.24</t>
  </si>
  <si>
    <t>163.18</t>
  </si>
  <si>
    <t>54.67</t>
  </si>
  <si>
    <t>92.94</t>
  </si>
  <si>
    <t>76.29</t>
  </si>
  <si>
    <t>87.23</t>
  </si>
  <si>
    <t>103.87</t>
  </si>
  <si>
    <t>125.74</t>
  </si>
  <si>
    <t>120.27</t>
  </si>
  <si>
    <t>ENCUBE ETHICALS</t>
  </si>
  <si>
    <t>746949</t>
  </si>
  <si>
    <t>SEMI AMARYL M TABLET 10'S (WINDLAS)</t>
  </si>
  <si>
    <t>AMARYL_PF/GLIMEPIRIDE</t>
  </si>
  <si>
    <t>74.54</t>
  </si>
  <si>
    <t>0.32</t>
  </si>
  <si>
    <t>9.81</t>
  </si>
  <si>
    <t>650851</t>
  </si>
  <si>
    <t>TELSITE AM TAB  10'S - WINDLAS BIO</t>
  </si>
  <si>
    <t>TELMISARTAN_PF</t>
  </si>
  <si>
    <t>92.19</t>
  </si>
  <si>
    <t>200.00</t>
  </si>
  <si>
    <t>100.00</t>
  </si>
  <si>
    <t>95.31</t>
  </si>
  <si>
    <t>0.30</t>
  </si>
  <si>
    <t>0.59</t>
  </si>
  <si>
    <t>9.48</t>
  </si>
  <si>
    <t>16.96</t>
  </si>
  <si>
    <t>8.48</t>
  </si>
  <si>
    <t>8.08</t>
  </si>
  <si>
    <t>555832</t>
  </si>
  <si>
    <t>TELSITE H40 10'S (PUR) WINDLAS BIO</t>
  </si>
  <si>
    <t>94.22</t>
  </si>
  <si>
    <t>94.40</t>
  </si>
  <si>
    <t>0.28</t>
  </si>
  <si>
    <t>0.54</t>
  </si>
  <si>
    <t>0.27</t>
  </si>
  <si>
    <t>8.74</t>
  </si>
  <si>
    <t>15.37</t>
  </si>
  <si>
    <t>7.68</t>
  </si>
  <si>
    <t>7.25</t>
  </si>
  <si>
    <t>769833</t>
  </si>
  <si>
    <t>DAONIL 5MG 30'S (ANK)</t>
  </si>
  <si>
    <t>DAONIL_PF/GLIBENCLAMIDE</t>
  </si>
  <si>
    <t>2,035.72</t>
  </si>
  <si>
    <t>4.02</t>
  </si>
  <si>
    <t>124.92</t>
  </si>
  <si>
    <t>769657</t>
  </si>
  <si>
    <t>LASIX 40 MG 1X15 SALE</t>
  </si>
  <si>
    <t>8,706.24</t>
  </si>
  <si>
    <t>15.26</t>
  </si>
  <si>
    <t>462.69</t>
  </si>
  <si>
    <t>769665</t>
  </si>
  <si>
    <t>TRENTAL 400 (LOCAL PENTOXIFYLLINE) 1X15</t>
  </si>
  <si>
    <t>TRENTAL_PF/PENTOXIFYLLINE</t>
  </si>
  <si>
    <t>928.98</t>
  </si>
  <si>
    <t>13.74</t>
  </si>
  <si>
    <t>424.99</t>
  </si>
  <si>
    <t>956758</t>
  </si>
  <si>
    <t>HYDROXYCHLOROQUINE SULFATE (SCI)</t>
  </si>
  <si>
    <t>HQCS</t>
  </si>
  <si>
    <t>SCI TW</t>
  </si>
  <si>
    <t>1.65</t>
  </si>
  <si>
    <t>53.67</t>
  </si>
  <si>
    <t>247.50</t>
  </si>
  <si>
    <t>1,500.00</t>
  </si>
  <si>
    <t>769832</t>
  </si>
  <si>
    <t>Semi Amaryl 0.5mg 30's Ank</t>
  </si>
  <si>
    <t>150.75</t>
  </si>
  <si>
    <t>0.76</t>
  </si>
  <si>
    <t>23.41</t>
  </si>
  <si>
    <t>769704</t>
  </si>
  <si>
    <t>Lasix Tablets 40x15 Non-Cis Export</t>
  </si>
  <si>
    <t>Sri Lanka</t>
  </si>
  <si>
    <t>70.66</t>
  </si>
  <si>
    <t>5.63</t>
  </si>
  <si>
    <t>173.77</t>
  </si>
  <si>
    <t>933327</t>
  </si>
  <si>
    <t>Valparin Syrup 200ML</t>
  </si>
  <si>
    <t>DEPAKINE_PF/VALPROATE SODIUM</t>
  </si>
  <si>
    <t>S00789</t>
  </si>
  <si>
    <t>LIQ</t>
  </si>
  <si>
    <t>NAXPAR</t>
  </si>
  <si>
    <t>195.24</t>
  </si>
  <si>
    <t>2,000.00</t>
  </si>
  <si>
    <t>3,577.64</t>
  </si>
  <si>
    <t>2,065.36</t>
  </si>
  <si>
    <t>2,150.00</t>
  </si>
  <si>
    <t>300.00</t>
  </si>
  <si>
    <t>1,400.00</t>
  </si>
  <si>
    <t>2.63</t>
  </si>
  <si>
    <t>24.36</t>
  </si>
  <si>
    <t>43.57</t>
  </si>
  <si>
    <t>26.18</t>
  </si>
  <si>
    <t>3.65</t>
  </si>
  <si>
    <t>17.05</t>
  </si>
  <si>
    <t>81.21</t>
  </si>
  <si>
    <t>679.86</t>
  </si>
  <si>
    <t>1,216.15</t>
  </si>
  <si>
    <t>702.08</t>
  </si>
  <si>
    <t>730.85</t>
  </si>
  <si>
    <t>101.98</t>
  </si>
  <si>
    <t>475.90</t>
  </si>
  <si>
    <t>533316</t>
  </si>
  <si>
    <t>Depakote 250 Tab 15's - PUR (Windlas)</t>
  </si>
  <si>
    <t>90.45</t>
  </si>
  <si>
    <t>93.33</t>
  </si>
  <si>
    <t>91.40</t>
  </si>
  <si>
    <t>0.95</t>
  </si>
  <si>
    <t>0.91</t>
  </si>
  <si>
    <t>29.41</t>
  </si>
  <si>
    <t>25.38</t>
  </si>
  <si>
    <t>24.86</t>
  </si>
  <si>
    <t>533319</t>
  </si>
  <si>
    <t>Depakote 500 Tab 15's - PUR (Windlas)</t>
  </si>
  <si>
    <t>135.81</t>
  </si>
  <si>
    <t>140.00</t>
  </si>
  <si>
    <t>115.89</t>
  </si>
  <si>
    <t>115.00</t>
  </si>
  <si>
    <t>116.67</t>
  </si>
  <si>
    <t>2.54</t>
  </si>
  <si>
    <t>2.43</t>
  </si>
  <si>
    <t>2.01</t>
  </si>
  <si>
    <t>2.03</t>
  </si>
  <si>
    <t>78.43</t>
  </si>
  <si>
    <t>67.89</t>
  </si>
  <si>
    <t>56.20</t>
  </si>
  <si>
    <t>55.76</t>
  </si>
  <si>
    <t>56.57</t>
  </si>
  <si>
    <t>718307</t>
  </si>
  <si>
    <t>Depakote XR 250MG Tab 15'S (Windlas)</t>
  </si>
  <si>
    <t>56.89</t>
  </si>
  <si>
    <t>60.00</t>
  </si>
  <si>
    <t>30.00</t>
  </si>
  <si>
    <t>0.79</t>
  </si>
  <si>
    <t>0.38</t>
  </si>
  <si>
    <t>24.51</t>
  </si>
  <si>
    <t>21.24</t>
  </si>
  <si>
    <t>10.62</t>
  </si>
  <si>
    <t>718331</t>
  </si>
  <si>
    <t>Depakote XR 500MG Tab 15'S (Windlas)</t>
  </si>
  <si>
    <t>133.72</t>
  </si>
  <si>
    <t>120.00</t>
  </si>
  <si>
    <t>98.72</t>
  </si>
  <si>
    <t>98.16</t>
  </si>
  <si>
    <t>2.73</t>
  </si>
  <si>
    <t>2.22</t>
  </si>
  <si>
    <t>1.83</t>
  </si>
  <si>
    <t>1.85</t>
  </si>
  <si>
    <t>84.24</t>
  </si>
  <si>
    <t>62.04</t>
  </si>
  <si>
    <t>51.04</t>
  </si>
  <si>
    <t>50.75</t>
  </si>
  <si>
    <t>51.70</t>
  </si>
  <si>
    <t>475652</t>
  </si>
  <si>
    <t>AMEDIN 10MG TAB, 2X14 -MS/MDFE</t>
  </si>
  <si>
    <t>AGEN_PF/AMLODIPINE</t>
  </si>
  <si>
    <t>MEDREICH</t>
  </si>
  <si>
    <t>Madagascar</t>
  </si>
  <si>
    <t>Meiji Holding - MEDREICH</t>
  </si>
  <si>
    <t>475862</t>
  </si>
  <si>
    <t>AMEDIN 5MG TAB, 2X14 -MS</t>
  </si>
  <si>
    <t>Uganda</t>
  </si>
  <si>
    <t>476517</t>
  </si>
  <si>
    <t>AMEDIN10MGTAB,2X14-MS/NAFDAC,ALU-ALU ML3</t>
  </si>
  <si>
    <t>Nigeria</t>
  </si>
  <si>
    <t>476515</t>
  </si>
  <si>
    <t>AMEDIN5MGTAB,2X14 -MS/NAFDAC,ALU-ALU ML3</t>
  </si>
  <si>
    <t>475982</t>
  </si>
  <si>
    <t>AMITRON 250MG/5ML DS, 60ML -MT/TEDIS</t>
  </si>
  <si>
    <t>AMOXICILLIN (TRIHYDRATE)_PF/AMOXICILLIN</t>
  </si>
  <si>
    <t>PWD-SUSP</t>
  </si>
  <si>
    <t>Africa</t>
  </si>
  <si>
    <t>475871</t>
  </si>
  <si>
    <t xml:space="preserve">AMITRON 500MG CAP, 1X12 -NT/ </t>
  </si>
  <si>
    <t>CAPS</t>
  </si>
  <si>
    <t>475875</t>
  </si>
  <si>
    <t>AMITRON 500MG CAP, 50X10 -NT</t>
  </si>
  <si>
    <t>55.58</t>
  </si>
  <si>
    <t>43.20</t>
  </si>
  <si>
    <t>47.94</t>
  </si>
  <si>
    <t>45.26</t>
  </si>
  <si>
    <t>41.66</t>
  </si>
  <si>
    <t>46.80</t>
  </si>
  <si>
    <t>19.27</t>
  </si>
  <si>
    <t>16.94</t>
  </si>
  <si>
    <t>16.54</t>
  </si>
  <si>
    <t>882.56</t>
  </si>
  <si>
    <t>635.33</t>
  </si>
  <si>
    <t>704.99</t>
  </si>
  <si>
    <t>665.67</t>
  </si>
  <si>
    <t>612.72</t>
  </si>
  <si>
    <t>688.27</t>
  </si>
  <si>
    <t>475280</t>
  </si>
  <si>
    <t>AXACEF 250MG TAB, 1X10 -MS/NAFDAC</t>
  </si>
  <si>
    <t>CEFUROXIME_PF</t>
  </si>
  <si>
    <t>475987</t>
  </si>
  <si>
    <t>AXACEF 250MG TAB, 1X10S-MD/ALU-ALU</t>
  </si>
  <si>
    <t>475281</t>
  </si>
  <si>
    <t>AXACEF 500MG TAB, 1X10 -MS/NAFDAC</t>
  </si>
  <si>
    <t>475988</t>
  </si>
  <si>
    <t>AXACEF 500MG TAB, 1X10S-MD/ALU-ALU</t>
  </si>
  <si>
    <t>476043</t>
  </si>
  <si>
    <t>FLEMING 1000MG TAB, 2X7 -MS/MDUK</t>
  </si>
  <si>
    <t>476956</t>
  </si>
  <si>
    <t>FLEMING 1125MG TAB, 16S -MS</t>
  </si>
  <si>
    <t>1,033.63</t>
  </si>
  <si>
    <t>937.50</t>
  </si>
  <si>
    <t>800.00</t>
  </si>
  <si>
    <t>919.65</t>
  </si>
  <si>
    <t>875.00</t>
  </si>
  <si>
    <t>900.00</t>
  </si>
  <si>
    <t>41.35</t>
  </si>
  <si>
    <t>37.50</t>
  </si>
  <si>
    <t>32.00</t>
  </si>
  <si>
    <t>35.00</t>
  </si>
  <si>
    <t>36.00</t>
  </si>
  <si>
    <t>1,888.10</t>
  </si>
  <si>
    <t>1,468.75</t>
  </si>
  <si>
    <t>1,253.33</t>
  </si>
  <si>
    <t>1,440.79</t>
  </si>
  <si>
    <t>1,370.83</t>
  </si>
  <si>
    <t>1,410.00</t>
  </si>
  <si>
    <t>476963</t>
  </si>
  <si>
    <t>FLEMING 1200MG INJ, 5S -MD</t>
  </si>
  <si>
    <t>INJ-PWD</t>
  </si>
  <si>
    <t>277.90</t>
  </si>
  <si>
    <t>304.00</t>
  </si>
  <si>
    <t>328.36</t>
  </si>
  <si>
    <t>280.60</t>
  </si>
  <si>
    <t>296.00</t>
  </si>
  <si>
    <t>320.00</t>
  </si>
  <si>
    <t>16.67</t>
  </si>
  <si>
    <t>18.24</t>
  </si>
  <si>
    <t>19.70</t>
  </si>
  <si>
    <t>17.76</t>
  </si>
  <si>
    <t>19.20</t>
  </si>
  <si>
    <t>805.92</t>
  </si>
  <si>
    <t>796.48</t>
  </si>
  <si>
    <t>860.31</t>
  </si>
  <si>
    <t>735.17</t>
  </si>
  <si>
    <t>775.52</t>
  </si>
  <si>
    <t>838.40</t>
  </si>
  <si>
    <t>476005</t>
  </si>
  <si>
    <t>FLEMING 1200MG INJ, 5S -MS/NAFDAC</t>
  </si>
  <si>
    <t>475266</t>
  </si>
  <si>
    <t>FLEMING 228.5MG/5ML DS, 70ML -MS/NAFDAC</t>
  </si>
  <si>
    <t>369.57</t>
  </si>
  <si>
    <t>360.00</t>
  </si>
  <si>
    <t>400.00</t>
  </si>
  <si>
    <t>309.12</t>
  </si>
  <si>
    <t>229.12</t>
  </si>
  <si>
    <t>160.00</t>
  </si>
  <si>
    <t>9.86</t>
  </si>
  <si>
    <t>7.20</t>
  </si>
  <si>
    <t>8.00</t>
  </si>
  <si>
    <t>1.60</t>
  </si>
  <si>
    <t>3.20</t>
  </si>
  <si>
    <t>354.78</t>
  </si>
  <si>
    <t>268.80</t>
  </si>
  <si>
    <t>298.67</t>
  </si>
  <si>
    <t>230.81</t>
  </si>
  <si>
    <t>171.08</t>
  </si>
  <si>
    <t>59.73</t>
  </si>
  <si>
    <t>119.47</t>
  </si>
  <si>
    <t>476955</t>
  </si>
  <si>
    <t>FLEMING 281.25MG/5ML DS, 60ML -MD/MDUK</t>
  </si>
  <si>
    <t>No Main Destination Country</t>
  </si>
  <si>
    <t>435.43</t>
  </si>
  <si>
    <t>390.00</t>
  </si>
  <si>
    <t>358.94</t>
  </si>
  <si>
    <t>445.01</t>
  </si>
  <si>
    <t>475.01</t>
  </si>
  <si>
    <t>420.00</t>
  </si>
  <si>
    <t>8.71</t>
  </si>
  <si>
    <t>7.80</t>
  </si>
  <si>
    <t>7.18</t>
  </si>
  <si>
    <t>8.40</t>
  </si>
  <si>
    <t>438.33</t>
  </si>
  <si>
    <t>319.80</t>
  </si>
  <si>
    <t>294.33</t>
  </si>
  <si>
    <t>364.91</t>
  </si>
  <si>
    <t>389.51</t>
  </si>
  <si>
    <t>344.40</t>
  </si>
  <si>
    <t>475269</t>
  </si>
  <si>
    <t>FLEMING 457MG/5ML DS, 70ML -MS/NAFDAC</t>
  </si>
  <si>
    <t>266.91</t>
  </si>
  <si>
    <t>7.12</t>
  </si>
  <si>
    <t>348.76</t>
  </si>
  <si>
    <t>476006</t>
  </si>
  <si>
    <t>FLEMING 600MG INJ, 10S -MS</t>
  </si>
  <si>
    <t>475278</t>
  </si>
  <si>
    <t>FLEMING 625MG TAB, 2X7 -MS/MDUK</t>
  </si>
  <si>
    <t>506.36</t>
  </si>
  <si>
    <t>342.86</t>
  </si>
  <si>
    <t>285.72</t>
  </si>
  <si>
    <t>257.15</t>
  </si>
  <si>
    <t>114.29</t>
  </si>
  <si>
    <t>171.43</t>
  </si>
  <si>
    <t>13.50</t>
  </si>
  <si>
    <t>9.14</t>
  </si>
  <si>
    <t>7.62</t>
  </si>
  <si>
    <t>3.05</t>
  </si>
  <si>
    <t>4.57</t>
  </si>
  <si>
    <t>654.89</t>
  </si>
  <si>
    <t>363.44</t>
  </si>
  <si>
    <t>302.86</t>
  </si>
  <si>
    <t>272.58</t>
  </si>
  <si>
    <t>121.15</t>
  </si>
  <si>
    <t>181.72</t>
  </si>
  <si>
    <t>680218</t>
  </si>
  <si>
    <t>MIRTAZAPINE 15MG TABOR BL2X15 BR</t>
  </si>
  <si>
    <t>MIRTAZAPINE_PF</t>
  </si>
  <si>
    <t>AURABINDO</t>
  </si>
  <si>
    <t>Brazil</t>
  </si>
  <si>
    <t>387.91</t>
  </si>
  <si>
    <t>359.33</t>
  </si>
  <si>
    <t>297.79</t>
  </si>
  <si>
    <t>195.13</t>
  </si>
  <si>
    <t>10.34</t>
  </si>
  <si>
    <t>9.58</t>
  </si>
  <si>
    <t>7.94</t>
  </si>
  <si>
    <t>475.84</t>
  </si>
  <si>
    <t>368.91</t>
  </si>
  <si>
    <t>305.73</t>
  </si>
  <si>
    <t>200.33</t>
  </si>
  <si>
    <t>Aurobindo</t>
  </si>
  <si>
    <t>680226</t>
  </si>
  <si>
    <t>MIRTAZAPINE 30MG TABOR BL2X15 BR</t>
  </si>
  <si>
    <t>222.08</t>
  </si>
  <si>
    <t>333.67</t>
  </si>
  <si>
    <t>200.65</t>
  </si>
  <si>
    <t>97.98</t>
  </si>
  <si>
    <t>10.36</t>
  </si>
  <si>
    <t>15.57</t>
  </si>
  <si>
    <t>473.77</t>
  </si>
  <si>
    <t>631.75</t>
  </si>
  <si>
    <t>379.89</t>
  </si>
  <si>
    <t>185.51</t>
  </si>
  <si>
    <t>698117</t>
  </si>
  <si>
    <t>OMIZEC 20MG CAPEM BL4X7 M36 EX</t>
  </si>
  <si>
    <t>HELICID_PF/OMEPRAZOLE</t>
  </si>
  <si>
    <t>125.01</t>
  </si>
  <si>
    <t>35.72</t>
  </si>
  <si>
    <t>17.26</t>
  </si>
  <si>
    <t>1.67</t>
  </si>
  <si>
    <t>0.48</t>
  </si>
  <si>
    <t>52.50</t>
  </si>
  <si>
    <t>15.00</t>
  </si>
  <si>
    <t>36572</t>
  </si>
  <si>
    <t>SABRIL 500MG TABCO BL10X10 KR</t>
  </si>
  <si>
    <t>SABRIL_PF/VIGABATRIN</t>
  </si>
  <si>
    <t>S01616</t>
  </si>
  <si>
    <t>HANDOK</t>
  </si>
  <si>
    <t>South Korea</t>
  </si>
  <si>
    <t>KRW</t>
  </si>
  <si>
    <t>9.98</t>
  </si>
  <si>
    <t>9.80</t>
  </si>
  <si>
    <t>19.60</t>
  </si>
  <si>
    <t>0.71</t>
  </si>
  <si>
    <t>1.08</t>
  </si>
  <si>
    <t>10.26</t>
  </si>
  <si>
    <t>8.03</t>
  </si>
  <si>
    <t>16.07</t>
  </si>
  <si>
    <t>263155</t>
  </si>
  <si>
    <t>APROVEL 150MG TABCO BL3X10 KR</t>
  </si>
  <si>
    <t>APROVEL_PF/IRBESARTAN</t>
  </si>
  <si>
    <t>136.08</t>
  </si>
  <si>
    <t>204.87</t>
  </si>
  <si>
    <t>272.17</t>
  </si>
  <si>
    <t>204.52</t>
  </si>
  <si>
    <t>2.36</t>
  </si>
  <si>
    <t>2.76</t>
  </si>
  <si>
    <t>3.67</t>
  </si>
  <si>
    <t>50.74</t>
  </si>
  <si>
    <t>60.57</t>
  </si>
  <si>
    <t>60.80</t>
  </si>
  <si>
    <t>80.77</t>
  </si>
  <si>
    <t>60.69</t>
  </si>
  <si>
    <t>263156</t>
  </si>
  <si>
    <t>APROVEL 150MG TABCO BT100 KR</t>
  </si>
  <si>
    <t>62.40</t>
  </si>
  <si>
    <t>143.40</t>
  </si>
  <si>
    <t>141.99</t>
  </si>
  <si>
    <t>142.59</t>
  </si>
  <si>
    <t>161.74</t>
  </si>
  <si>
    <t>162.99</t>
  </si>
  <si>
    <t>164.24</t>
  </si>
  <si>
    <t>3.52</t>
  </si>
  <si>
    <t>6.29</t>
  </si>
  <si>
    <t>6.23</t>
  </si>
  <si>
    <t>7.10</t>
  </si>
  <si>
    <t>7.15</t>
  </si>
  <si>
    <t>7.21</t>
  </si>
  <si>
    <t>45.43</t>
  </si>
  <si>
    <t>83.27</t>
  </si>
  <si>
    <t>82.45</t>
  </si>
  <si>
    <t>82.80</t>
  </si>
  <si>
    <t>93.92</t>
  </si>
  <si>
    <t>94.64</t>
  </si>
  <si>
    <t>95.37</t>
  </si>
  <si>
    <t>263158</t>
  </si>
  <si>
    <t>APROVEL 300MG TABCO BL3X10 KR</t>
  </si>
  <si>
    <t>204.80</t>
  </si>
  <si>
    <t>203.78</t>
  </si>
  <si>
    <t>169.81</t>
  </si>
  <si>
    <t>169.62</t>
  </si>
  <si>
    <t>204.05</t>
  </si>
  <si>
    <t>170.63</t>
  </si>
  <si>
    <t>6.50</t>
  </si>
  <si>
    <t>5.03</t>
  </si>
  <si>
    <t>4.19</t>
  </si>
  <si>
    <t>5.04</t>
  </si>
  <si>
    <t>4.21</t>
  </si>
  <si>
    <t>104.55</t>
  </si>
  <si>
    <t>82.93</t>
  </si>
  <si>
    <t>69.10</t>
  </si>
  <si>
    <t>69.03</t>
  </si>
  <si>
    <t>83.04</t>
  </si>
  <si>
    <t>69.43</t>
  </si>
  <si>
    <t>263159</t>
  </si>
  <si>
    <t>APROVEL 300MG TABCO BT100 KR</t>
  </si>
  <si>
    <t>263160</t>
  </si>
  <si>
    <t>COAPRO 150-12.5MG TAB BL3X10 KR</t>
  </si>
  <si>
    <t>200.48</t>
  </si>
  <si>
    <t>201.19</t>
  </si>
  <si>
    <t>134.13</t>
  </si>
  <si>
    <t>202.09</t>
  </si>
  <si>
    <t>201.44</t>
  </si>
  <si>
    <t>201.94</t>
  </si>
  <si>
    <t>3.49</t>
  </si>
  <si>
    <t>2.72</t>
  </si>
  <si>
    <t>1.81</t>
  </si>
  <si>
    <t>83.66</t>
  </si>
  <si>
    <t>63.34</t>
  </si>
  <si>
    <t>42.23</t>
  </si>
  <si>
    <t>63.62</t>
  </si>
  <si>
    <t>63.42</t>
  </si>
  <si>
    <t>63.58</t>
  </si>
  <si>
    <t>263161</t>
  </si>
  <si>
    <t>COAPRO 150-12.5MG TAB BT100 KR</t>
  </si>
  <si>
    <t>263162</t>
  </si>
  <si>
    <t>COAPRO 300-12.5MG TAB BL3X10 KR</t>
  </si>
  <si>
    <t>68.21</t>
  </si>
  <si>
    <t>101.85</t>
  </si>
  <si>
    <t>33.95</t>
  </si>
  <si>
    <t>67.90</t>
  </si>
  <si>
    <t>68.47</t>
  </si>
  <si>
    <t>2.11</t>
  </si>
  <si>
    <t>2.51</t>
  </si>
  <si>
    <t>0.84</t>
  </si>
  <si>
    <t>1.68</t>
  </si>
  <si>
    <t>1.69</t>
  </si>
  <si>
    <t>34.06</t>
  </si>
  <si>
    <t>64.31</t>
  </si>
  <si>
    <t>21.44</t>
  </si>
  <si>
    <t>42.87</t>
  </si>
  <si>
    <t>43.23</t>
  </si>
  <si>
    <t>263163</t>
  </si>
  <si>
    <t>COAPRO 300-12.5MG TAB BT100 KR</t>
  </si>
  <si>
    <t>263166</t>
  </si>
  <si>
    <t>DEPAK CHRO300 199.8-87MG TABCR BT100 KR</t>
  </si>
  <si>
    <t>85.52</t>
  </si>
  <si>
    <t>67.29</t>
  </si>
  <si>
    <t>96.45</t>
  </si>
  <si>
    <t>96.69</t>
  </si>
  <si>
    <t>86.52</t>
  </si>
  <si>
    <t>0.94</t>
  </si>
  <si>
    <t>0.58</t>
  </si>
  <si>
    <t>0.83</t>
  </si>
  <si>
    <t>0.74</t>
  </si>
  <si>
    <t>108.45</t>
  </si>
  <si>
    <t>68.18</t>
  </si>
  <si>
    <t>97.73</t>
  </si>
  <si>
    <t>97.97</t>
  </si>
  <si>
    <t>87.67</t>
  </si>
  <si>
    <t>263168</t>
  </si>
  <si>
    <t>DEPAK CHRO500 333-145MG TABCR BT100 KR</t>
  </si>
  <si>
    <t>65.76</t>
  </si>
  <si>
    <t>71.92</t>
  </si>
  <si>
    <t>65.23</t>
  </si>
  <si>
    <t>64.32</t>
  </si>
  <si>
    <t>0.82</t>
  </si>
  <si>
    <t>0.92</t>
  </si>
  <si>
    <t>76.20</t>
  </si>
  <si>
    <t>59.81</t>
  </si>
  <si>
    <t>66.88</t>
  </si>
  <si>
    <t>60.66</t>
  </si>
  <si>
    <t>263172</t>
  </si>
  <si>
    <t>SOLIAN 100MG TAB BL6X10 KR</t>
  </si>
  <si>
    <t>SOLIAN_PF/AMISULPRIDE</t>
  </si>
  <si>
    <t>20.01</t>
  </si>
  <si>
    <t>22.11</t>
  </si>
  <si>
    <t>31.40</t>
  </si>
  <si>
    <t>27.45</t>
  </si>
  <si>
    <t>263173</t>
  </si>
  <si>
    <t>SOLIAN 200MG TAB BL6X10 KR</t>
  </si>
  <si>
    <t>27.09</t>
  </si>
  <si>
    <t>26.00</t>
  </si>
  <si>
    <t>20.12</t>
  </si>
  <si>
    <t>20.09</t>
  </si>
  <si>
    <t>1.52</t>
  </si>
  <si>
    <t>1.17</t>
  </si>
  <si>
    <t>26.82</t>
  </si>
  <si>
    <t>15.54</t>
  </si>
  <si>
    <t>15.52</t>
  </si>
  <si>
    <t>263174</t>
  </si>
  <si>
    <t>SOLIAN 400MG TABCO BL6X10 KR</t>
  </si>
  <si>
    <t>33.60</t>
  </si>
  <si>
    <t>34.41</t>
  </si>
  <si>
    <t>3.26</t>
  </si>
  <si>
    <t>2.60</t>
  </si>
  <si>
    <t>33.81</t>
  </si>
  <si>
    <t>26.74</t>
  </si>
  <si>
    <t>266931</t>
  </si>
  <si>
    <t>RULID 150MG TABCO BT30 KR</t>
  </si>
  <si>
    <t>RULID_PF/ROXITHROMYCIN</t>
  </si>
  <si>
    <t>269417</t>
  </si>
  <si>
    <t>XATRAL 10MG TAB BT30 P2P KR</t>
  </si>
  <si>
    <t>XATRAL_PF/ALFUZOSIN HCL</t>
  </si>
  <si>
    <t>639.08</t>
  </si>
  <si>
    <t>621.75</t>
  </si>
  <si>
    <t>690.10</t>
  </si>
  <si>
    <t>630.21</t>
  </si>
  <si>
    <t>683.93</t>
  </si>
  <si>
    <t>8.20</t>
  </si>
  <si>
    <t>6.20</t>
  </si>
  <si>
    <t>6.88</t>
  </si>
  <si>
    <t>6.82</t>
  </si>
  <si>
    <t>290.32</t>
  </si>
  <si>
    <t>224.74</t>
  </si>
  <si>
    <t>249.45</t>
  </si>
  <si>
    <t>227.80</t>
  </si>
  <si>
    <t>247.22</t>
  </si>
  <si>
    <t>269418</t>
  </si>
  <si>
    <t>XATRAL 10MG TAB BT100 P2P KR</t>
  </si>
  <si>
    <t>58.06</t>
  </si>
  <si>
    <t>74.76</t>
  </si>
  <si>
    <t>74.73</t>
  </si>
  <si>
    <t>93.97</t>
  </si>
  <si>
    <t>74.01</t>
  </si>
  <si>
    <t>2.39</t>
  </si>
  <si>
    <t>2.37</t>
  </si>
  <si>
    <t>53.61</t>
  </si>
  <si>
    <t>55.05</t>
  </si>
  <si>
    <t>55.03</t>
  </si>
  <si>
    <t>69.20</t>
  </si>
  <si>
    <t>54.50</t>
  </si>
  <si>
    <t>281034</t>
  </si>
  <si>
    <t>STILNOX CR 6.25MG TABCO BT100 KR</t>
  </si>
  <si>
    <t>STILNOX_PF/ZOLPIDEM TARTRATE</t>
  </si>
  <si>
    <t>16.69</t>
  </si>
  <si>
    <t>18.72</t>
  </si>
  <si>
    <t>17.51</t>
  </si>
  <si>
    <t>18.34</t>
  </si>
  <si>
    <t>18.58</t>
  </si>
  <si>
    <t>0.45</t>
  </si>
  <si>
    <t>0.39</t>
  </si>
  <si>
    <t>0.37</t>
  </si>
  <si>
    <t>15.72</t>
  </si>
  <si>
    <t>14.08</t>
  </si>
  <si>
    <t>13.17</t>
  </si>
  <si>
    <t>13.79</t>
  </si>
  <si>
    <t>13.97</t>
  </si>
  <si>
    <t>281035</t>
  </si>
  <si>
    <t>STILNOX CR 12.5MG TABCO BT100 KR</t>
  </si>
  <si>
    <t>27.66</t>
  </si>
  <si>
    <t>32.40</t>
  </si>
  <si>
    <t>31.62</t>
  </si>
  <si>
    <t>32.08</t>
  </si>
  <si>
    <t>27.00</t>
  </si>
  <si>
    <t>1.04</t>
  </si>
  <si>
    <t>26.01</t>
  </si>
  <si>
    <t>24.35</t>
  </si>
  <si>
    <t>23.76</t>
  </si>
  <si>
    <t>24.11</t>
  </si>
  <si>
    <t>20.29</t>
  </si>
  <si>
    <t>281036</t>
  </si>
  <si>
    <t>STILNOX 10MG TABCO BT100 KR</t>
  </si>
  <si>
    <t>118.28</t>
  </si>
  <si>
    <t>87.42</t>
  </si>
  <si>
    <t>87.83</t>
  </si>
  <si>
    <t>116.56</t>
  </si>
  <si>
    <t>2.53</t>
  </si>
  <si>
    <t>1.45</t>
  </si>
  <si>
    <t>1.94</t>
  </si>
  <si>
    <t>61.08</t>
  </si>
  <si>
    <t>35.98</t>
  </si>
  <si>
    <t>36.15</t>
  </si>
  <si>
    <t>47.98</t>
  </si>
  <si>
    <t>307002</t>
  </si>
  <si>
    <t>AMARYL M 2-500MG TABCO BL3X10 M36 XB</t>
  </si>
  <si>
    <t>Central America</t>
  </si>
  <si>
    <t>67.51</t>
  </si>
  <si>
    <t>67.80</t>
  </si>
  <si>
    <t>45.20</t>
  </si>
  <si>
    <t>22.69</t>
  </si>
  <si>
    <t>3.60</t>
  </si>
  <si>
    <t>4.07</t>
  </si>
  <si>
    <t>2.71</t>
  </si>
  <si>
    <t>104.10</t>
  </si>
  <si>
    <t>76.39</t>
  </si>
  <si>
    <t>50.93</t>
  </si>
  <si>
    <t>25.56</t>
  </si>
  <si>
    <t>307007</t>
  </si>
  <si>
    <t>AMARYL MIR 2-500MG TABCO BL3X10 TW</t>
  </si>
  <si>
    <t>Taiwan</t>
  </si>
  <si>
    <t>1,081.93</t>
  </si>
  <si>
    <t>949.20</t>
  </si>
  <si>
    <t>1,039.50</t>
  </si>
  <si>
    <t>744.89</t>
  </si>
  <si>
    <t>1,016.09</t>
  </si>
  <si>
    <t>1,084.80</t>
  </si>
  <si>
    <t>57.70</t>
  </si>
  <si>
    <t>50.62</t>
  </si>
  <si>
    <t>55.44</t>
  </si>
  <si>
    <t>57.86</t>
  </si>
  <si>
    <t>1,098.59</t>
  </si>
  <si>
    <t>797.33</t>
  </si>
  <si>
    <t>873.18</t>
  </si>
  <si>
    <t>625.71</t>
  </si>
  <si>
    <t>853.51</t>
  </si>
  <si>
    <t>911.23</t>
  </si>
  <si>
    <t>307022</t>
  </si>
  <si>
    <t>AMARYL COMBO 2-500MG TABCO B BOX 1000 ID</t>
  </si>
  <si>
    <t>Indonesia</t>
  </si>
  <si>
    <t>4,074.34</t>
  </si>
  <si>
    <t>5.36</t>
  </si>
  <si>
    <t>5.37</t>
  </si>
  <si>
    <t>6.71</t>
  </si>
  <si>
    <t>6.25</t>
  </si>
  <si>
    <t>6.49</t>
  </si>
  <si>
    <t>8.65</t>
  </si>
  <si>
    <t>110.39</t>
  </si>
  <si>
    <t>89.30</t>
  </si>
  <si>
    <t>119.12</t>
  </si>
  <si>
    <t>119.33</t>
  </si>
  <si>
    <t>149.10</t>
  </si>
  <si>
    <t>119.06</t>
  </si>
  <si>
    <t>307023</t>
  </si>
  <si>
    <t>AMARYL COMBO 1-250MG TABCO B BOX 1000 ID</t>
  </si>
  <si>
    <t>1,142.44</t>
  </si>
  <si>
    <t>1.01</t>
  </si>
  <si>
    <t>22.47</t>
  </si>
  <si>
    <t>756866</t>
  </si>
  <si>
    <t>AMARYL MSR 2-500MG TABCO BL3X10 M24 XE</t>
  </si>
  <si>
    <t>Export</t>
  </si>
  <si>
    <t>340953</t>
  </si>
  <si>
    <t>DEPAK CHRO500 333-145MG TABCR BL10X10 KR</t>
  </si>
  <si>
    <t>43.01</t>
  </si>
  <si>
    <t>50.31</t>
  </si>
  <si>
    <t>43.55</t>
  </si>
  <si>
    <t>50.17</t>
  </si>
  <si>
    <t>50.18</t>
  </si>
  <si>
    <t>1.03</t>
  </si>
  <si>
    <t>0.68</t>
  </si>
  <si>
    <t>0.80</t>
  </si>
  <si>
    <t>130.53</t>
  </si>
  <si>
    <t>87.81</t>
  </si>
  <si>
    <t>102.73</t>
  </si>
  <si>
    <t>88.91</t>
  </si>
  <si>
    <t>102.44</t>
  </si>
  <si>
    <t>102.45</t>
  </si>
  <si>
    <t>340954</t>
  </si>
  <si>
    <t>DEPAK CHRO30 199.8-87MG TABCR BL10X10 KR</t>
  </si>
  <si>
    <t>28.58</t>
  </si>
  <si>
    <t>28.65</t>
  </si>
  <si>
    <t>38.35</t>
  </si>
  <si>
    <t>38.39</t>
  </si>
  <si>
    <t>38.20</t>
  </si>
  <si>
    <t>0.31</t>
  </si>
  <si>
    <t>64.69</t>
  </si>
  <si>
    <t>51.61</t>
  </si>
  <si>
    <t>69.09</t>
  </si>
  <si>
    <t>69.17</t>
  </si>
  <si>
    <t>68.82</t>
  </si>
  <si>
    <t>384654</t>
  </si>
  <si>
    <t>RULID 150MG TABCO BT100 KR</t>
  </si>
  <si>
    <t>399217</t>
  </si>
  <si>
    <t>SOLOSAMET SR 2-500MG TABCO BL3X10 M24 PH</t>
  </si>
  <si>
    <t>Philippines</t>
  </si>
  <si>
    <t>16.43</t>
  </si>
  <si>
    <t>1.64</t>
  </si>
  <si>
    <t>50.79</t>
  </si>
  <si>
    <t>22.61</t>
  </si>
  <si>
    <t>481639</t>
  </si>
  <si>
    <t>AMARYL M 2-500MG TABCO BL3X10 M36 AZ</t>
  </si>
  <si>
    <t>Azerbaijan</t>
  </si>
  <si>
    <t>67.79</t>
  </si>
  <si>
    <t>22.37</t>
  </si>
  <si>
    <t>67.57</t>
  </si>
  <si>
    <t>44.97</t>
  </si>
  <si>
    <t>22.60</t>
  </si>
  <si>
    <t>3.62</t>
  </si>
  <si>
    <t>1.34</t>
  </si>
  <si>
    <t>1.36</t>
  </si>
  <si>
    <t>104.98</t>
  </si>
  <si>
    <t>72.77</t>
  </si>
  <si>
    <t>24.01</t>
  </si>
  <si>
    <t>72.52</t>
  </si>
  <si>
    <t>48.27</t>
  </si>
  <si>
    <t>24.26</t>
  </si>
  <si>
    <t>508440</t>
  </si>
  <si>
    <t>AMARYL MSR 2-500MG TABCO BL3X10 M36 XC</t>
  </si>
  <si>
    <t>535022</t>
  </si>
  <si>
    <t>AMARYL MIR 2-500MG TABCO BL3X10 S4 XE</t>
  </si>
  <si>
    <t>535031</t>
  </si>
  <si>
    <t>225.67</t>
  </si>
  <si>
    <t>158.20</t>
  </si>
  <si>
    <t>270.90</t>
  </si>
  <si>
    <t>315.93</t>
  </si>
  <si>
    <t>451.53</t>
  </si>
  <si>
    <t>248.60</t>
  </si>
  <si>
    <t>180.80</t>
  </si>
  <si>
    <t>12.04</t>
  </si>
  <si>
    <t>9.49</t>
  </si>
  <si>
    <t>16.25</t>
  </si>
  <si>
    <t>14.92</t>
  </si>
  <si>
    <t>10.85</t>
  </si>
  <si>
    <t>349.51</t>
  </si>
  <si>
    <t>169.80</t>
  </si>
  <si>
    <t>290.77</t>
  </si>
  <si>
    <t>339.09</t>
  </si>
  <si>
    <t>484.64</t>
  </si>
  <si>
    <t>266.83</t>
  </si>
  <si>
    <t>194.06</t>
  </si>
  <si>
    <t>557435</t>
  </si>
  <si>
    <t>AMARYL MSR 2-500MG TABCO BL3X10 M36 UZ</t>
  </si>
  <si>
    <t>Uzbekistan</t>
  </si>
  <si>
    <t>557442</t>
  </si>
  <si>
    <t>AMARYL MSR 2-500MG TABCO BL3X10 NF XE</t>
  </si>
  <si>
    <t>573186</t>
  </si>
  <si>
    <t>LASIX 40MG TAB BT500 M36 TH</t>
  </si>
  <si>
    <t>Thailand</t>
  </si>
  <si>
    <t>5.86</t>
  </si>
  <si>
    <t>6.00</t>
  </si>
  <si>
    <t>0.90</t>
  </si>
  <si>
    <t>15.24</t>
  </si>
  <si>
    <t>15.60</t>
  </si>
  <si>
    <t>583229</t>
  </si>
  <si>
    <t>FRISIUM 5MG TAB BL10X10 TH</t>
  </si>
  <si>
    <t>FRISIUM_PF/CLOBAZAM</t>
  </si>
  <si>
    <t>586844</t>
  </si>
  <si>
    <t>LASIX 40MG TAB BL20X15 TW</t>
  </si>
  <si>
    <t>19.53</t>
  </si>
  <si>
    <t>29.50</t>
  </si>
  <si>
    <t>29.33</t>
  </si>
  <si>
    <t>19.66</t>
  </si>
  <si>
    <t>2.21</t>
  </si>
  <si>
    <t>3.54</t>
  </si>
  <si>
    <t>101.43</t>
  </si>
  <si>
    <t>79.05</t>
  </si>
  <si>
    <t>78.60</t>
  </si>
  <si>
    <t>52.70</t>
  </si>
  <si>
    <t>586869</t>
  </si>
  <si>
    <t>FRISIUM 10MG TAB BL10X10 TW</t>
  </si>
  <si>
    <t>587585</t>
  </si>
  <si>
    <t>LASIX 40MG TAB BL10X15 PH</t>
  </si>
  <si>
    <t>38.81</t>
  </si>
  <si>
    <t>39.33</t>
  </si>
  <si>
    <t>39.22</t>
  </si>
  <si>
    <t>2.07</t>
  </si>
  <si>
    <t>1.18</t>
  </si>
  <si>
    <t>98.57</t>
  </si>
  <si>
    <t>49.29</t>
  </si>
  <si>
    <t>49.16</t>
  </si>
  <si>
    <t>24.65</t>
  </si>
  <si>
    <t>633477</t>
  </si>
  <si>
    <t>AMARYL MIR 2-500MG TABCO B BOX 1000 SA</t>
  </si>
  <si>
    <t>Saudi Arabia</t>
  </si>
  <si>
    <t>674.07</t>
  </si>
  <si>
    <t>1.05</t>
  </si>
  <si>
    <t>51.17</t>
  </si>
  <si>
    <t>724228</t>
  </si>
  <si>
    <t>AMARYL MSR 2-500MG TABCO BL3X10 M24 XN</t>
  </si>
  <si>
    <t>Middle-East</t>
  </si>
  <si>
    <t>16.56</t>
  </si>
  <si>
    <t>16.00</t>
  </si>
  <si>
    <t>16.73</t>
  </si>
  <si>
    <t>32.73</t>
  </si>
  <si>
    <t>1.43</t>
  </si>
  <si>
    <t>1.39</t>
  </si>
  <si>
    <t>68.32</t>
  </si>
  <si>
    <t>58.35</t>
  </si>
  <si>
    <t>61.01</t>
  </si>
  <si>
    <t>119.36</t>
  </si>
  <si>
    <t>724788</t>
  </si>
  <si>
    <t>AMARYL MIR 2-500MG TABCO BL3X10 M36 XN</t>
  </si>
  <si>
    <t>1,193.60</t>
  </si>
  <si>
    <t>813.60</t>
  </si>
  <si>
    <t>768.19</t>
  </si>
  <si>
    <t>722.99</t>
  </si>
  <si>
    <t>203.40</t>
  </si>
  <si>
    <t>926.60</t>
  </si>
  <si>
    <t>791.00</t>
  </si>
  <si>
    <t>63.66</t>
  </si>
  <si>
    <t>48.82</t>
  </si>
  <si>
    <t>12.20</t>
  </si>
  <si>
    <t>55.60</t>
  </si>
  <si>
    <t>47.46</t>
  </si>
  <si>
    <t>1,888.35</t>
  </si>
  <si>
    <t>894.96</t>
  </si>
  <si>
    <t>273.46</t>
  </si>
  <si>
    <t>845.01</t>
  </si>
  <si>
    <t>795.29</t>
  </si>
  <si>
    <t>223.74</t>
  </si>
  <si>
    <t>1,019.26</t>
  </si>
  <si>
    <t>870.10</t>
  </si>
  <si>
    <t>736193</t>
  </si>
  <si>
    <t>CORDARONE 200MG TAB 10BL3 M36 H KR</t>
  </si>
  <si>
    <t>CORDARONE_PF/AMIODARONE HCL</t>
  </si>
  <si>
    <t>408.34</t>
  </si>
  <si>
    <t>490.68</t>
  </si>
  <si>
    <t>656.84</t>
  </si>
  <si>
    <t>490.00</t>
  </si>
  <si>
    <t>571.67</t>
  </si>
  <si>
    <t>2.98</t>
  </si>
  <si>
    <t>3.25</t>
  </si>
  <si>
    <t>3.80</t>
  </si>
  <si>
    <t>149.73</t>
  </si>
  <si>
    <t>137.84</t>
  </si>
  <si>
    <t>165.64</t>
  </si>
  <si>
    <t>221.73</t>
  </si>
  <si>
    <t>165.41</t>
  </si>
  <si>
    <t>192.98</t>
  </si>
  <si>
    <t>742118</t>
  </si>
  <si>
    <t>PLAVIX 75MG TABCO BT100 M36 KR</t>
  </si>
  <si>
    <t>PLAVIX_PF/CLOPIDOGREL</t>
  </si>
  <si>
    <t>1,022.50</t>
  </si>
  <si>
    <t>1,208.83</t>
  </si>
  <si>
    <t>1,426.22</t>
  </si>
  <si>
    <t>1,434.70</t>
  </si>
  <si>
    <t>1,258.17</t>
  </si>
  <si>
    <t>1,430.86</t>
  </si>
  <si>
    <t>116.85</t>
  </si>
  <si>
    <t>107.35</t>
  </si>
  <si>
    <t>126.66</t>
  </si>
  <si>
    <t>111.73</t>
  </si>
  <si>
    <t>127.07</t>
  </si>
  <si>
    <t>712.64</t>
  </si>
  <si>
    <t>671.64</t>
  </si>
  <si>
    <t>792.43</t>
  </si>
  <si>
    <t>797.14</t>
  </si>
  <si>
    <t>699.06</t>
  </si>
  <si>
    <t>795.01</t>
  </si>
  <si>
    <t>742119</t>
  </si>
  <si>
    <t>PLAVIX 75MG TABCO BL3X10 M36 KR</t>
  </si>
  <si>
    <t>406.60</t>
  </si>
  <si>
    <t>411.17</t>
  </si>
  <si>
    <t>491.90</t>
  </si>
  <si>
    <t>491.39</t>
  </si>
  <si>
    <t>493.40</t>
  </si>
  <si>
    <t>14.38</t>
  </si>
  <si>
    <t>11.31</t>
  </si>
  <si>
    <t>13.53</t>
  </si>
  <si>
    <t>13.57</t>
  </si>
  <si>
    <t>243.37</t>
  </si>
  <si>
    <t>196.09</t>
  </si>
  <si>
    <t>234.59</t>
  </si>
  <si>
    <t>234.35</t>
  </si>
  <si>
    <t>235.30</t>
  </si>
  <si>
    <t>509684</t>
  </si>
  <si>
    <t>ROVELITO 150-10MG TABCO BT30 KR</t>
  </si>
  <si>
    <t>HANMI</t>
  </si>
  <si>
    <t>84.16</t>
  </si>
  <si>
    <t>90.00</t>
  </si>
  <si>
    <t>88.27</t>
  </si>
  <si>
    <t>116.10</t>
  </si>
  <si>
    <t>1.75</t>
  </si>
  <si>
    <t>1.46</t>
  </si>
  <si>
    <t>625.53</t>
  </si>
  <si>
    <t>334.51</t>
  </si>
  <si>
    <t>328.08</t>
  </si>
  <si>
    <t>431.50</t>
  </si>
  <si>
    <t>HANMI PHARM CO., LTD</t>
  </si>
  <si>
    <t>509685</t>
  </si>
  <si>
    <t>ROVELITO 150-10MG TABCO BT100 KR</t>
  </si>
  <si>
    <t>17.14</t>
  </si>
  <si>
    <t>18.00</t>
  </si>
  <si>
    <t>17.48</t>
  </si>
  <si>
    <t>0.97</t>
  </si>
  <si>
    <t>422.24</t>
  </si>
  <si>
    <t>331.37</t>
  </si>
  <si>
    <t>220.92</t>
  </si>
  <si>
    <t>214.47</t>
  </si>
  <si>
    <t>509686</t>
  </si>
  <si>
    <t>ROVELITO 150-20MG TABCO BT30 KR</t>
  </si>
  <si>
    <t>37.41</t>
  </si>
  <si>
    <t>38.90</t>
  </si>
  <si>
    <t>50.00</t>
  </si>
  <si>
    <t>0.86</t>
  </si>
  <si>
    <t>0.53</t>
  </si>
  <si>
    <t>0.89</t>
  </si>
  <si>
    <t>305.45</t>
  </si>
  <si>
    <t>171.78</t>
  </si>
  <si>
    <t>167.05</t>
  </si>
  <si>
    <t>128.83</t>
  </si>
  <si>
    <t>214.72</t>
  </si>
  <si>
    <t>509687</t>
  </si>
  <si>
    <t>ROVELITO 150-20MG TABCO BT100 KR</t>
  </si>
  <si>
    <t>8.56</t>
  </si>
  <si>
    <t>12.00</t>
  </si>
  <si>
    <t>11.79</t>
  </si>
  <si>
    <t>0.65</t>
  </si>
  <si>
    <t>0.70</t>
  </si>
  <si>
    <t>233.11</t>
  </si>
  <si>
    <t>168.81</t>
  </si>
  <si>
    <t>113.66</t>
  </si>
  <si>
    <t>898345</t>
  </si>
  <si>
    <t>APROVASC 150-5MG TAB BT100 H KR</t>
  </si>
  <si>
    <t>-12.77</t>
  </si>
  <si>
    <t>-0.47</t>
  </si>
  <si>
    <t>-50.69</t>
  </si>
  <si>
    <t>899622</t>
  </si>
  <si>
    <t>APROVASC 150-5MG TAB BT 30T KR</t>
  </si>
  <si>
    <t>-20.27</t>
  </si>
  <si>
    <t>-0.23</t>
  </si>
  <si>
    <t>-28.19</t>
  </si>
  <si>
    <t>899623</t>
  </si>
  <si>
    <t>APROVASC 150-10MG TAB BT 30T KR</t>
  </si>
  <si>
    <t>-19.46</t>
  </si>
  <si>
    <t>-28.88</t>
  </si>
  <si>
    <t>899624</t>
  </si>
  <si>
    <t>APROVASC 300-5MG TAB BT 30T KR</t>
  </si>
  <si>
    <t>-2.73</t>
  </si>
  <si>
    <t>-0.06</t>
  </si>
  <si>
    <t>-7.02</t>
  </si>
  <si>
    <t>546572</t>
  </si>
  <si>
    <t>IRBESARTAN,ATORVA 300-10MG TABCO BT30 KR</t>
  </si>
  <si>
    <t>37.36</t>
  </si>
  <si>
    <t>48.84</t>
  </si>
  <si>
    <t>47.47</t>
  </si>
  <si>
    <t>1.15</t>
  </si>
  <si>
    <t>0.96</t>
  </si>
  <si>
    <t>1.44</t>
  </si>
  <si>
    <t>410.51</t>
  </si>
  <si>
    <t>175.16</t>
  </si>
  <si>
    <t>213.88</t>
  </si>
  <si>
    <t>207.87</t>
  </si>
  <si>
    <t>262.74</t>
  </si>
  <si>
    <t>546579</t>
  </si>
  <si>
    <t>IRBESARTAN,ATORVA 300-20MG TABCO BT30 KR</t>
  </si>
  <si>
    <t>23.20</t>
  </si>
  <si>
    <t>25.00</t>
  </si>
  <si>
    <t>23.86</t>
  </si>
  <si>
    <t>0.78</t>
  </si>
  <si>
    <t>276.94</t>
  </si>
  <si>
    <t>153.78</t>
  </si>
  <si>
    <t>128.15</t>
  </si>
  <si>
    <t>122.32</t>
  </si>
  <si>
    <t>782841</t>
  </si>
  <si>
    <t>DEPAKINE 12G/60ML SOL BT1 M36 TH</t>
  </si>
  <si>
    <t>S00639</t>
  </si>
  <si>
    <t>INTERTHAI</t>
  </si>
  <si>
    <t>THB</t>
  </si>
  <si>
    <t>208.02</t>
  </si>
  <si>
    <t>198.99</t>
  </si>
  <si>
    <t>197.91</t>
  </si>
  <si>
    <t>183.34</t>
  </si>
  <si>
    <t>4.10</t>
  </si>
  <si>
    <t>4.40</t>
  </si>
  <si>
    <t>4.37</t>
  </si>
  <si>
    <t>4.03</t>
  </si>
  <si>
    <t>128.61</t>
  </si>
  <si>
    <t>123.22</t>
  </si>
  <si>
    <t>122.59</t>
  </si>
  <si>
    <t>121.93</t>
  </si>
  <si>
    <t>112.95</t>
  </si>
  <si>
    <t>INTERTHAI PHARMACEUTICAL</t>
  </si>
  <si>
    <t>786238</t>
  </si>
  <si>
    <t>FLAGYL 125MG/5ML SUSP BT1 M24 PH</t>
  </si>
  <si>
    <t>FLAGYL_PF/METRONIDAZOLE</t>
  </si>
  <si>
    <t>S85638</t>
  </si>
  <si>
    <t>LLOYD</t>
  </si>
  <si>
    <t>PHP</t>
  </si>
  <si>
    <t>638.79</t>
  </si>
  <si>
    <t>7.49</t>
  </si>
  <si>
    <t>230.18</t>
  </si>
  <si>
    <t>Lloyd</t>
  </si>
  <si>
    <t>825955</t>
  </si>
  <si>
    <t>STILNOX 10MG TABCO BL14 M48 KR</t>
  </si>
  <si>
    <t>3,773.43</t>
  </si>
  <si>
    <t>3,580.76</t>
  </si>
  <si>
    <t>3,999.44</t>
  </si>
  <si>
    <t>3,577.35</t>
  </si>
  <si>
    <t>12.56</t>
  </si>
  <si>
    <t>9.27</t>
  </si>
  <si>
    <t>10.35</t>
  </si>
  <si>
    <t>711.93</t>
  </si>
  <si>
    <t>534.44</t>
  </si>
  <si>
    <t>596.92</t>
  </si>
  <si>
    <t>533.93</t>
  </si>
  <si>
    <t>825956</t>
  </si>
  <si>
    <t>STILNOX 12.5MG TABCO BL14 M36 KR</t>
  </si>
  <si>
    <t>288.05</t>
  </si>
  <si>
    <t>334.53</t>
  </si>
  <si>
    <t>343.31</t>
  </si>
  <si>
    <t>339.40</t>
  </si>
  <si>
    <t>278.78</t>
  </si>
  <si>
    <t>334.43</t>
  </si>
  <si>
    <t>1.59</t>
  </si>
  <si>
    <t>1.48</t>
  </si>
  <si>
    <t>1.20</t>
  </si>
  <si>
    <t>65.22</t>
  </si>
  <si>
    <t>60.27</t>
  </si>
  <si>
    <t>61.85</t>
  </si>
  <si>
    <t>61.14</t>
  </si>
  <si>
    <t>50.22</t>
  </si>
  <si>
    <t>60.25</t>
  </si>
  <si>
    <t>825958</t>
  </si>
  <si>
    <t>STILNOX 6.25MG TABCO BL14 M36 KR</t>
  </si>
  <si>
    <t>334.14</t>
  </si>
  <si>
    <t>258.00</t>
  </si>
  <si>
    <t>201.00</t>
  </si>
  <si>
    <t>253.57</t>
  </si>
  <si>
    <t>259.00</t>
  </si>
  <si>
    <t>324.00</t>
  </si>
  <si>
    <t>1.35</t>
  </si>
  <si>
    <t>0.63</t>
  </si>
  <si>
    <t>1.02</t>
  </si>
  <si>
    <t>74.66</t>
  </si>
  <si>
    <t>45.88</t>
  </si>
  <si>
    <t>35.74</t>
  </si>
  <si>
    <t>45.09</t>
  </si>
  <si>
    <t>46.06</t>
  </si>
  <si>
    <t>57.61</t>
  </si>
  <si>
    <t>823534</t>
  </si>
  <si>
    <t>Cetapin XR 1000mg 15's W</t>
  </si>
  <si>
    <t>1,985.93</t>
  </si>
  <si>
    <t>1,466.69</t>
  </si>
  <si>
    <t>1,438.99</t>
  </si>
  <si>
    <t>1,704.03</t>
  </si>
  <si>
    <t>1,757.36</t>
  </si>
  <si>
    <t>1,520.02</t>
  </si>
  <si>
    <t>1,786.69</t>
  </si>
  <si>
    <t>9.79</t>
  </si>
  <si>
    <t>7.09</t>
  </si>
  <si>
    <t>6.96</t>
  </si>
  <si>
    <t>7.35</t>
  </si>
  <si>
    <t>8.64</t>
  </si>
  <si>
    <t>205.15</t>
  </si>
  <si>
    <t>201.28</t>
  </si>
  <si>
    <t>238.35</t>
  </si>
  <si>
    <t>245.81</t>
  </si>
  <si>
    <t>212.61</t>
  </si>
  <si>
    <t>249.92</t>
  </si>
  <si>
    <t>823532</t>
  </si>
  <si>
    <t>Cetapin V 0.2mg 15's W</t>
  </si>
  <si>
    <t>113.15</t>
  </si>
  <si>
    <t>58.80</t>
  </si>
  <si>
    <t>38.80</t>
  </si>
  <si>
    <t>0.67</t>
  </si>
  <si>
    <t>0.49</t>
  </si>
  <si>
    <t>0.36</t>
  </si>
  <si>
    <t>20.76</t>
  </si>
  <si>
    <t>14.06</t>
  </si>
  <si>
    <t>825019</t>
  </si>
  <si>
    <t>Telsite Tab 20MG 15's W</t>
  </si>
  <si>
    <t>TELMISARTAN</t>
  </si>
  <si>
    <t>84.19</t>
  </si>
  <si>
    <t>106.66</t>
  </si>
  <si>
    <t>53.33</t>
  </si>
  <si>
    <t>50.85</t>
  </si>
  <si>
    <t>0.15</t>
  </si>
  <si>
    <t>8.17</t>
  </si>
  <si>
    <t>8.53</t>
  </si>
  <si>
    <t>4.26</t>
  </si>
  <si>
    <t>825474</t>
  </si>
  <si>
    <t>Amaryl M Forte 2mg 15'S W</t>
  </si>
  <si>
    <t>AMARYL_M</t>
  </si>
  <si>
    <t>1,260.78</t>
  </si>
  <si>
    <t>866.66</t>
  </si>
  <si>
    <t>797.08</t>
  </si>
  <si>
    <t>757.31</t>
  </si>
  <si>
    <t>890.64</t>
  </si>
  <si>
    <t>899.99</t>
  </si>
  <si>
    <t>1,166.66</t>
  </si>
  <si>
    <t>10.22</t>
  </si>
  <si>
    <t>6.44</t>
  </si>
  <si>
    <t>5.92</t>
  </si>
  <si>
    <t>6.69</t>
  </si>
  <si>
    <t>7.93</t>
  </si>
  <si>
    <t>8.67</t>
  </si>
  <si>
    <t>268.71</t>
  </si>
  <si>
    <t>154.47</t>
  </si>
  <si>
    <t>142.07</t>
  </si>
  <si>
    <t>134.98</t>
  </si>
  <si>
    <t>158.75</t>
  </si>
  <si>
    <t>160.41</t>
  </si>
  <si>
    <t>190.12</t>
  </si>
  <si>
    <t>207.94</t>
  </si>
  <si>
    <t>825020</t>
  </si>
  <si>
    <t>Amaryl M Forte 1MG 15's W</t>
  </si>
  <si>
    <t>838.60</t>
  </si>
  <si>
    <t>533.33</t>
  </si>
  <si>
    <t>532.00</t>
  </si>
  <si>
    <t>562.33</t>
  </si>
  <si>
    <t>662.33</t>
  </si>
  <si>
    <t>666.66</t>
  </si>
  <si>
    <t>566.66</t>
  </si>
  <si>
    <t>733.33</t>
  </si>
  <si>
    <t>6.16</t>
  </si>
  <si>
    <t>3.48</t>
  </si>
  <si>
    <t>4.36</t>
  </si>
  <si>
    <t>3.70</t>
  </si>
  <si>
    <t>4.79</t>
  </si>
  <si>
    <t>172.05</t>
  </si>
  <si>
    <t>90.97</t>
  </si>
  <si>
    <t>90.74</t>
  </si>
  <si>
    <t>95.91</t>
  </si>
  <si>
    <t>112.97</t>
  </si>
  <si>
    <t>113.71</t>
  </si>
  <si>
    <t>96.65</t>
  </si>
  <si>
    <t>125.08</t>
  </si>
  <si>
    <t>823536</t>
  </si>
  <si>
    <t>Telsite Tab 80MG 15's W</t>
  </si>
  <si>
    <t>9.02</t>
  </si>
  <si>
    <t>0.08</t>
  </si>
  <si>
    <t>0.16</t>
  </si>
  <si>
    <t>2.52</t>
  </si>
  <si>
    <t>823535</t>
  </si>
  <si>
    <t>Telsite Tab 40MG 15's W</t>
  </si>
  <si>
    <t>203.34</t>
  </si>
  <si>
    <t>306.67</t>
  </si>
  <si>
    <t>171.80</t>
  </si>
  <si>
    <t>170.15</t>
  </si>
  <si>
    <t>210.15</t>
  </si>
  <si>
    <t>1.57</t>
  </si>
  <si>
    <t>0.88</t>
  </si>
  <si>
    <t>36.16</t>
  </si>
  <si>
    <t>44.82</t>
  </si>
  <si>
    <t>25.11</t>
  </si>
  <si>
    <t>24.87</t>
  </si>
  <si>
    <t>30.71</t>
  </si>
  <si>
    <t>823533</t>
  </si>
  <si>
    <t>Cetapin V 0.3MG 15'Ss W</t>
  </si>
  <si>
    <t>248.26</t>
  </si>
  <si>
    <t>159.05</t>
  </si>
  <si>
    <t>180.00</t>
  </si>
  <si>
    <t>1.55</t>
  </si>
  <si>
    <t>0.77</t>
  </si>
  <si>
    <t>1.16</t>
  </si>
  <si>
    <t>48.07</t>
  </si>
  <si>
    <t>29.53</t>
  </si>
  <si>
    <t>22.15</t>
  </si>
  <si>
    <t>29.35</t>
  </si>
  <si>
    <t>33.22</t>
  </si>
  <si>
    <t>826728</t>
  </si>
  <si>
    <t>Vinlep 300mg Tablet 10's  E</t>
  </si>
  <si>
    <t>VINLEP_PF/OXCARBAZEPINE</t>
  </si>
  <si>
    <t>EXPERT</t>
  </si>
  <si>
    <t>228.48</t>
  </si>
  <si>
    <t>382.20</t>
  </si>
  <si>
    <t>201.72</t>
  </si>
  <si>
    <t>3.13</t>
  </si>
  <si>
    <t>4.76</t>
  </si>
  <si>
    <t>3.38</t>
  </si>
  <si>
    <t>5.00</t>
  </si>
  <si>
    <t>2.64</t>
  </si>
  <si>
    <t>EXPERT PHARMACEUTICALS</t>
  </si>
  <si>
    <t>826727</t>
  </si>
  <si>
    <t>Vinlep 150mg Tablet 10's  E</t>
  </si>
  <si>
    <t>235.24</t>
  </si>
  <si>
    <t>176.40</t>
  </si>
  <si>
    <t>1.73</t>
  </si>
  <si>
    <t>2.84</t>
  </si>
  <si>
    <t>1.88</t>
  </si>
  <si>
    <t>826730</t>
  </si>
  <si>
    <t>Vinlep 600mg Tablet 10's  E</t>
  </si>
  <si>
    <t>99.42</t>
  </si>
  <si>
    <t>73.50</t>
  </si>
  <si>
    <t>29.46</t>
  </si>
  <si>
    <t>1.76</t>
  </si>
  <si>
    <t>1.96</t>
  </si>
  <si>
    <t>0.51</t>
  </si>
  <si>
    <t>826729</t>
  </si>
  <si>
    <t>Vinlep 450mg Tablet 10's  E</t>
  </si>
  <si>
    <t>97.70</t>
  </si>
  <si>
    <t>117.60</t>
  </si>
  <si>
    <t>88.73</t>
  </si>
  <si>
    <t>59.33</t>
  </si>
  <si>
    <t>2.14</t>
  </si>
  <si>
    <t>1.61</t>
  </si>
  <si>
    <t>1.71</t>
  </si>
  <si>
    <t>1.82</t>
  </si>
  <si>
    <t>1.37</t>
  </si>
  <si>
    <t>828466</t>
  </si>
  <si>
    <t>ONDANSETRON 4MG TABOR BL10 M24 BR</t>
  </si>
  <si>
    <t>SETRON_PF/ONDANSETRON</t>
  </si>
  <si>
    <t>ATHENA</t>
  </si>
  <si>
    <t>880.60</t>
  </si>
  <si>
    <t>195.00</t>
  </si>
  <si>
    <t>11.74</t>
  </si>
  <si>
    <t>10.67</t>
  </si>
  <si>
    <t>2.67</t>
  </si>
  <si>
    <t>739.70</t>
  </si>
  <si>
    <t>405.33</t>
  </si>
  <si>
    <t>101.33</t>
  </si>
  <si>
    <t>98.80</t>
  </si>
  <si>
    <t>828467</t>
  </si>
  <si>
    <t>ONDANSETRON 8MG TABOR BL10 M24 BR</t>
  </si>
  <si>
    <t>392.20</t>
  </si>
  <si>
    <t>750.00</t>
  </si>
  <si>
    <t>342.00</t>
  </si>
  <si>
    <t>7.84</t>
  </si>
  <si>
    <t>504.63</t>
  </si>
  <si>
    <t>700.00</t>
  </si>
  <si>
    <t>466.67</t>
  </si>
  <si>
    <t>319.20</t>
  </si>
  <si>
    <t>845983</t>
  </si>
  <si>
    <t>APIXABAN 5MG TABCO BL3X20 M36 BR</t>
  </si>
  <si>
    <t>APIXABAN_PF</t>
  </si>
  <si>
    <t>INTAS</t>
  </si>
  <si>
    <t>137.93</t>
  </si>
  <si>
    <t>220.00</t>
  </si>
  <si>
    <t>173.29</t>
  </si>
  <si>
    <t>9.20</t>
  </si>
  <si>
    <t>16.13</t>
  </si>
  <si>
    <t>13.20</t>
  </si>
  <si>
    <t>540.67</t>
  </si>
  <si>
    <t>645.33</t>
  </si>
  <si>
    <t>528.00</t>
  </si>
  <si>
    <t>508.31</t>
  </si>
  <si>
    <t>933330</t>
  </si>
  <si>
    <t xml:space="preserve">Vinlep Suspension 100ml </t>
  </si>
  <si>
    <t>68.52</t>
  </si>
  <si>
    <t>150.00</t>
  </si>
  <si>
    <t>115.92</t>
  </si>
  <si>
    <t>70.92</t>
  </si>
  <si>
    <t>135.00</t>
  </si>
  <si>
    <t>2.06</t>
  </si>
  <si>
    <t>4.88</t>
  </si>
  <si>
    <t>63.69</t>
  </si>
  <si>
    <t>113.95</t>
  </si>
  <si>
    <t>136.74</t>
  </si>
  <si>
    <t>88.06</t>
  </si>
  <si>
    <t>53.87</t>
  </si>
  <si>
    <t>91.16</t>
  </si>
  <si>
    <t>102.55</t>
  </si>
  <si>
    <t>846134</t>
  </si>
  <si>
    <t>APIXABAN 5MG TABCO BL20 M36 BR</t>
  </si>
  <si>
    <t>119.15</t>
  </si>
  <si>
    <t>59.15</t>
  </si>
  <si>
    <t>3.18</t>
  </si>
  <si>
    <t>70.40</t>
  </si>
  <si>
    <t>139.80</t>
  </si>
  <si>
    <t>69.40</t>
  </si>
  <si>
    <t>845981</t>
  </si>
  <si>
    <t>APIXABAN 2.5MG TABCO BL20 M36 BR</t>
  </si>
  <si>
    <t>15.34</t>
  </si>
  <si>
    <t>0.40</t>
  </si>
  <si>
    <t>17.60</t>
  </si>
  <si>
    <t>845982</t>
  </si>
  <si>
    <t>APIXABAN 2.5MG TABCO BL3X20 M36 BR</t>
  </si>
  <si>
    <t>91.47</t>
  </si>
  <si>
    <t>5.40</t>
  </si>
  <si>
    <t>294.40</t>
  </si>
  <si>
    <t>220.80</t>
  </si>
  <si>
    <t>224.40</t>
  </si>
  <si>
    <t>863045</t>
  </si>
  <si>
    <t>SOLIFENACIN 10MG TABCO BL2X15 M24 BR</t>
  </si>
  <si>
    <t>SOLIFENACIN SUCCINATE_PF</t>
  </si>
  <si>
    <t>38.02</t>
  </si>
  <si>
    <t>8.89</t>
  </si>
  <si>
    <t>2.40</t>
  </si>
  <si>
    <t>120.15</t>
  </si>
  <si>
    <t>96.00</t>
  </si>
  <si>
    <t>21.33</t>
  </si>
  <si>
    <t>863050</t>
  </si>
  <si>
    <t>SOLIFENACIN 5MG TABCO BL2X15 M24 BR</t>
  </si>
  <si>
    <t>50.19</t>
  </si>
  <si>
    <t>37.94</t>
  </si>
  <si>
    <t>124.47</t>
  </si>
  <si>
    <t>104.80</t>
  </si>
  <si>
    <t>69.87</t>
  </si>
  <si>
    <t>66.26</t>
  </si>
  <si>
    <t>868570</t>
  </si>
  <si>
    <t>AMARYL 4MG TAB BL3X10 M36 KH</t>
  </si>
  <si>
    <t>KALVENTIS</t>
  </si>
  <si>
    <t>Cambodia</t>
  </si>
  <si>
    <t>32.69</t>
  </si>
  <si>
    <t>16.26</t>
  </si>
  <si>
    <t>32.87</t>
  </si>
  <si>
    <t>5.67</t>
  </si>
  <si>
    <t>2.85</t>
  </si>
  <si>
    <t>5.70</t>
  </si>
  <si>
    <t>72.80</t>
  </si>
  <si>
    <t>36.21</t>
  </si>
  <si>
    <t>36.59</t>
  </si>
  <si>
    <t>73.18</t>
  </si>
  <si>
    <t>Kalventis</t>
  </si>
  <si>
    <t>868830</t>
  </si>
  <si>
    <t>AMARYL 2MG TAB BL12X10 TH</t>
  </si>
  <si>
    <t>868832</t>
  </si>
  <si>
    <t>AMARYL 2MG TAB BL3X10 TH</t>
  </si>
  <si>
    <t>112.47</t>
  </si>
  <si>
    <t>115.04</t>
  </si>
  <si>
    <t>114.97</t>
  </si>
  <si>
    <t>137.81</t>
  </si>
  <si>
    <t>114.80</t>
  </si>
  <si>
    <t>92.03</t>
  </si>
  <si>
    <t>8.25</t>
  </si>
  <si>
    <t>7.36</t>
  </si>
  <si>
    <t>107.97</t>
  </si>
  <si>
    <t>88.19</t>
  </si>
  <si>
    <t>88.14</t>
  </si>
  <si>
    <t>105.65</t>
  </si>
  <si>
    <t>88.01</t>
  </si>
  <si>
    <t>70.55</t>
  </si>
  <si>
    <t>868833</t>
  </si>
  <si>
    <t>AMARYL 3MG TAB BL3X10 TH</t>
  </si>
  <si>
    <t>31.74</t>
  </si>
  <si>
    <t>49.25</t>
  </si>
  <si>
    <t>32.83</t>
  </si>
  <si>
    <t>32.64</t>
  </si>
  <si>
    <t>3.39</t>
  </si>
  <si>
    <t>5.91</t>
  </si>
  <si>
    <t>3.94</t>
  </si>
  <si>
    <t>40.42</t>
  </si>
  <si>
    <t>52.86</t>
  </si>
  <si>
    <t>35.24</t>
  </si>
  <si>
    <t>35.03</t>
  </si>
  <si>
    <t>868834</t>
  </si>
  <si>
    <t>AMARYL 4MG TAB BL12X10 TH</t>
  </si>
  <si>
    <t>4.00</t>
  </si>
  <si>
    <t>8.16</t>
  </si>
  <si>
    <t>8.21</t>
  </si>
  <si>
    <t>2.08</t>
  </si>
  <si>
    <t>2.35</t>
  </si>
  <si>
    <t>4.68</t>
  </si>
  <si>
    <t>4.71</t>
  </si>
  <si>
    <t>16.31</t>
  </si>
  <si>
    <t>15.92</t>
  </si>
  <si>
    <t>31.65</t>
  </si>
  <si>
    <t>31.85</t>
  </si>
  <si>
    <t>868848</t>
  </si>
  <si>
    <t>DAONIL 5MG TAB BL10X10 TH</t>
  </si>
  <si>
    <t>43.49</t>
  </si>
  <si>
    <t>43.53</t>
  </si>
  <si>
    <t>50.77</t>
  </si>
  <si>
    <t>43.52</t>
  </si>
  <si>
    <t>29.00</t>
  </si>
  <si>
    <t>59.05</t>
  </si>
  <si>
    <t>62.34</t>
  </si>
  <si>
    <t>62.39</t>
  </si>
  <si>
    <t>62.38</t>
  </si>
  <si>
    <t>41.56</t>
  </si>
  <si>
    <t>868853</t>
  </si>
  <si>
    <t>DAONIL 5MG TAB BL10X10 H NG</t>
  </si>
  <si>
    <t>179.08</t>
  </si>
  <si>
    <t>217.47</t>
  </si>
  <si>
    <t>5.97</t>
  </si>
  <si>
    <t>286.53</t>
  </si>
  <si>
    <t>311.71</t>
  </si>
  <si>
    <t>868869</t>
  </si>
  <si>
    <t>DERMATOP 12.5MG/5G CREAM TB100 TH</t>
  </si>
  <si>
    <t>DERMATOP_PF/PREDNICARBATE</t>
  </si>
  <si>
    <t>0.93</t>
  </si>
  <si>
    <t>1.11</t>
  </si>
  <si>
    <t>65.68</t>
  </si>
  <si>
    <t>67.22</t>
  </si>
  <si>
    <t>66.86</t>
  </si>
  <si>
    <t>80.02</t>
  </si>
  <si>
    <t>66.57</t>
  </si>
  <si>
    <t>868871</t>
  </si>
  <si>
    <t>FLAGYSTATIN 500MG+ PESSA BL10 PH</t>
  </si>
  <si>
    <t>SUPPOSITORY</t>
  </si>
  <si>
    <t>11.51</t>
  </si>
  <si>
    <t>11.04</t>
  </si>
  <si>
    <t>1.25</t>
  </si>
  <si>
    <t>37.15</t>
  </si>
  <si>
    <t>28.86</t>
  </si>
  <si>
    <t>868876</t>
  </si>
  <si>
    <t xml:space="preserve">PLATOGRIX 75MG TABCO BL2X14 M36 </t>
  </si>
  <si>
    <t>DOVENIX_PF/NITROXINIL</t>
  </si>
  <si>
    <t>165.40</t>
  </si>
  <si>
    <t>137.85</t>
  </si>
  <si>
    <t>165.50</t>
  </si>
  <si>
    <t>193.29</t>
  </si>
  <si>
    <t>165.72</t>
  </si>
  <si>
    <t>45.21</t>
  </si>
  <si>
    <t>41.36</t>
  </si>
  <si>
    <t>49.65</t>
  </si>
  <si>
    <t>192.96</t>
  </si>
  <si>
    <t>134.17</t>
  </si>
  <si>
    <t>161.08</t>
  </si>
  <si>
    <t>188.14</t>
  </si>
  <si>
    <t>161.30</t>
  </si>
  <si>
    <t>868899</t>
  </si>
  <si>
    <t>ESPERSON 12.5MG/5G OINT TB1 TH</t>
  </si>
  <si>
    <t>TOPISOLON_PF/DESOXIMETASONE</t>
  </si>
  <si>
    <t>153.34</t>
  </si>
  <si>
    <t>154.00</t>
  </si>
  <si>
    <t>231.00</t>
  </si>
  <si>
    <t>114.56</t>
  </si>
  <si>
    <t>153.06</t>
  </si>
  <si>
    <t>192.50</t>
  </si>
  <si>
    <t>2.04</t>
  </si>
  <si>
    <t>3.08</t>
  </si>
  <si>
    <t>4.62</t>
  </si>
  <si>
    <t>3.85</t>
  </si>
  <si>
    <t>134.94</t>
  </si>
  <si>
    <t>113.96</t>
  </si>
  <si>
    <t>170.94</t>
  </si>
  <si>
    <t>84.78</t>
  </si>
  <si>
    <t>113.27</t>
  </si>
  <si>
    <t>142.45</t>
  </si>
  <si>
    <t>868900</t>
  </si>
  <si>
    <t>ESPERSON 37.5MG/15G OINT TB1 TH</t>
  </si>
  <si>
    <t>140.71</t>
  </si>
  <si>
    <t>155.93</t>
  </si>
  <si>
    <t>155.88</t>
  </si>
  <si>
    <t>181.42</t>
  </si>
  <si>
    <t>155.43</t>
  </si>
  <si>
    <t>181.92</t>
  </si>
  <si>
    <t>7.28</t>
  </si>
  <si>
    <t>7.27</t>
  </si>
  <si>
    <t>8.49</t>
  </si>
  <si>
    <t>293.61</t>
  </si>
  <si>
    <t>286.91</t>
  </si>
  <si>
    <t>286.81</t>
  </si>
  <si>
    <t>333.81</t>
  </si>
  <si>
    <t>285.99</t>
  </si>
  <si>
    <t>334.73</t>
  </si>
  <si>
    <t>868901</t>
  </si>
  <si>
    <t>TRITACE 5MG TAB BL3X10 TH</t>
  </si>
  <si>
    <t>TRITACE_PF/RAMIPRIL</t>
  </si>
  <si>
    <t>39.36</t>
  </si>
  <si>
    <t>38.98</t>
  </si>
  <si>
    <t>4.51</t>
  </si>
  <si>
    <t>44.35</t>
  </si>
  <si>
    <t>43.91</t>
  </si>
  <si>
    <t>868902</t>
  </si>
  <si>
    <t>TRITACE 2.5MG TAB BL10X10 TH</t>
  </si>
  <si>
    <t>3.90</t>
  </si>
  <si>
    <t>7.88</t>
  </si>
  <si>
    <t>7.73</t>
  </si>
  <si>
    <t>11.67</t>
  </si>
  <si>
    <t>11.82</t>
  </si>
  <si>
    <t>2.57</t>
  </si>
  <si>
    <t>3.86</t>
  </si>
  <si>
    <t>32.81</t>
  </si>
  <si>
    <t>64.77</t>
  </si>
  <si>
    <t>63.52</t>
  </si>
  <si>
    <t>95.90</t>
  </si>
  <si>
    <t>97.16</t>
  </si>
  <si>
    <t>868903</t>
  </si>
  <si>
    <t>TRITACE 10MG TAB BL3X10 TH</t>
  </si>
  <si>
    <t>12.85</t>
  </si>
  <si>
    <t>12.91</t>
  </si>
  <si>
    <t>12.71</t>
  </si>
  <si>
    <t>25.62</t>
  </si>
  <si>
    <t>25.82</t>
  </si>
  <si>
    <t>4.11</t>
  </si>
  <si>
    <t>4.56</t>
  </si>
  <si>
    <t>4.49</t>
  </si>
  <si>
    <t>9.12</t>
  </si>
  <si>
    <t>15.75</t>
  </si>
  <si>
    <t>15.51</t>
  </si>
  <si>
    <t>31.26</t>
  </si>
  <si>
    <t>31.50</t>
  </si>
  <si>
    <t>868855</t>
  </si>
  <si>
    <t>DERMATOP 12.5MG/5G CREAM TB1 M36 TH</t>
  </si>
  <si>
    <t>110.53</t>
  </si>
  <si>
    <t>130.64</t>
  </si>
  <si>
    <t>148.86</t>
  </si>
  <si>
    <t>148.96</t>
  </si>
  <si>
    <t>149.30</t>
  </si>
  <si>
    <t>1.47</t>
  </si>
  <si>
    <t>2.61</t>
  </si>
  <si>
    <t>2.99</t>
  </si>
  <si>
    <t>98.74</t>
  </si>
  <si>
    <t>99.29</t>
  </si>
  <si>
    <t>113.14</t>
  </si>
  <si>
    <t>113.21</t>
  </si>
  <si>
    <t>113.47</t>
  </si>
  <si>
    <t>868866</t>
  </si>
  <si>
    <t>DERMATOP 37.5MG/15G CREAM TB1 TH</t>
  </si>
  <si>
    <t>50.72</t>
  </si>
  <si>
    <t>63.20</t>
  </si>
  <si>
    <t>69.53</t>
  </si>
  <si>
    <t>63.40</t>
  </si>
  <si>
    <t>57.06</t>
  </si>
  <si>
    <t>76.08</t>
  </si>
  <si>
    <t>2.48</t>
  </si>
  <si>
    <t>2.28</t>
  </si>
  <si>
    <t>3.04</t>
  </si>
  <si>
    <t>117.05</t>
  </si>
  <si>
    <t>85.89</t>
  </si>
  <si>
    <t>107.03</t>
  </si>
  <si>
    <t>117.74</t>
  </si>
  <si>
    <t>107.36</t>
  </si>
  <si>
    <t>96.62</t>
  </si>
  <si>
    <t>868873</t>
  </si>
  <si>
    <t>FLAGYSTATIN 500MG+ PESSA BL10 M36 SG</t>
  </si>
  <si>
    <t>Singapore</t>
  </si>
  <si>
    <t>23.08</t>
  </si>
  <si>
    <t>2.31</t>
  </si>
  <si>
    <t>74.93</t>
  </si>
  <si>
    <t>868875</t>
  </si>
  <si>
    <t>FLAGYL 500MG TABCO BL10X10 M36 PH</t>
  </si>
  <si>
    <t>36.89</t>
  </si>
  <si>
    <t>12.23</t>
  </si>
  <si>
    <t>20.91</t>
  </si>
  <si>
    <t>7.58</t>
  </si>
  <si>
    <t>234.15</t>
  </si>
  <si>
    <t>70.36</t>
  </si>
  <si>
    <t>878021</t>
  </si>
  <si>
    <t>Frisium Suspension 2.5mg/ml-100ml</t>
  </si>
  <si>
    <t>149.58</t>
  </si>
  <si>
    <t>152.00</t>
  </si>
  <si>
    <t>110.96</t>
  </si>
  <si>
    <t>30.60</t>
  </si>
  <si>
    <t>34.44</t>
  </si>
  <si>
    <t>132.00</t>
  </si>
  <si>
    <t>176.00</t>
  </si>
  <si>
    <t>4.72</t>
  </si>
  <si>
    <t>4.22</t>
  </si>
  <si>
    <t>2.66</t>
  </si>
  <si>
    <t>4.89</t>
  </si>
  <si>
    <t>145.66</t>
  </si>
  <si>
    <t>120.97</t>
  </si>
  <si>
    <t>88.30</t>
  </si>
  <si>
    <t>27.41</t>
  </si>
  <si>
    <t>105.05</t>
  </si>
  <si>
    <t>76.40</t>
  </si>
  <si>
    <t>140.07</t>
  </si>
  <si>
    <t>882028</t>
  </si>
  <si>
    <t>GLIMEPIRIDE METF 2-500MG TABCO BL3X10 XE</t>
  </si>
  <si>
    <t>22.32</t>
  </si>
  <si>
    <t>1.19</t>
  </si>
  <si>
    <t>35.31</t>
  </si>
  <si>
    <t>25.36</t>
  </si>
  <si>
    <t>942040</t>
  </si>
  <si>
    <t>FUROSEMIDE (IPCA_EP GRADE_PL)</t>
  </si>
  <si>
    <t>IPCA</t>
  </si>
  <si>
    <t>0.42</t>
  </si>
  <si>
    <t>1.54</t>
  </si>
  <si>
    <t>43.17</t>
  </si>
  <si>
    <t>946579</t>
  </si>
  <si>
    <t>SEVELAMER CARBONATE (SOLARA_ROVI)</t>
  </si>
  <si>
    <t>RENVELA_PF/SEVELAMER CARBONATE</t>
  </si>
  <si>
    <t>SOLARA</t>
  </si>
  <si>
    <t>187.46</t>
  </si>
  <si>
    <t>214.24</t>
  </si>
  <si>
    <t>944809</t>
  </si>
  <si>
    <t>SOLIAN TAB. 100MG/100T</t>
  </si>
  <si>
    <t>5.80</t>
  </si>
  <si>
    <t>5.14</t>
  </si>
  <si>
    <t>0.23</t>
  </si>
  <si>
    <t>10.39</t>
  </si>
  <si>
    <t>10.63</t>
  </si>
  <si>
    <t>7.96</t>
  </si>
  <si>
    <t>944811</t>
  </si>
  <si>
    <t>SOLIAN TAB. 100MG/30T</t>
  </si>
  <si>
    <t>25.06</t>
  </si>
  <si>
    <t>25.76</t>
  </si>
  <si>
    <t>19.35</t>
  </si>
  <si>
    <t>0.47</t>
  </si>
  <si>
    <t>0.35</t>
  </si>
  <si>
    <t>15.98</t>
  </si>
  <si>
    <t>944810</t>
  </si>
  <si>
    <t>SOLIAN TAB. 200MG/100T</t>
  </si>
  <si>
    <t>3.28</t>
  </si>
  <si>
    <t>4.92</t>
  </si>
  <si>
    <t>2.12</t>
  </si>
  <si>
    <t>6.36</t>
  </si>
  <si>
    <t>770407</t>
  </si>
  <si>
    <t>ARTICAINE HCL</t>
  </si>
  <si>
    <t>ARTICAINE</t>
  </si>
  <si>
    <t>1.72</t>
  </si>
  <si>
    <t>53.07</t>
  </si>
  <si>
    <t>838918</t>
  </si>
  <si>
    <t>BELUMOSUDIL US</t>
  </si>
  <si>
    <t>BELUMOSUDIL</t>
  </si>
  <si>
    <t>AURIGENE</t>
  </si>
  <si>
    <t>Usa</t>
  </si>
  <si>
    <t>2.20</t>
  </si>
  <si>
    <t>1.95</t>
  </si>
  <si>
    <t>1.00</t>
  </si>
  <si>
    <t>1.40</t>
  </si>
  <si>
    <t>1.30</t>
  </si>
  <si>
    <t>302.66</t>
  </si>
  <si>
    <t>484.51</t>
  </si>
  <si>
    <t>352.37</t>
  </si>
  <si>
    <t>220.23</t>
  </si>
  <si>
    <t>308.33</t>
  </si>
  <si>
    <t>286.30</t>
  </si>
  <si>
    <t>9,339.78</t>
  </si>
  <si>
    <t>13,544.34</t>
  </si>
  <si>
    <t>9,850.43</t>
  </si>
  <si>
    <t>12,059.70</t>
  </si>
  <si>
    <t>12,000.35</t>
  </si>
  <si>
    <t>6,156.52</t>
  </si>
  <si>
    <t>8,619.13</t>
  </si>
  <si>
    <t>8,003.48</t>
  </si>
  <si>
    <t>580262</t>
  </si>
  <si>
    <t>CEFIXIME (INDIA)</t>
  </si>
  <si>
    <t>CEFIXIME</t>
  </si>
  <si>
    <t>ORCHID</t>
  </si>
  <si>
    <t>0</t>
  </si>
  <si>
    <t>580263</t>
  </si>
  <si>
    <t>CEFOTAXIME NA SODIUM ST</t>
  </si>
  <si>
    <t>CEFOTAXIME</t>
  </si>
  <si>
    <t>2.00</t>
  </si>
  <si>
    <t>11.49</t>
  </si>
  <si>
    <t>354.55</t>
  </si>
  <si>
    <t>580264</t>
  </si>
  <si>
    <t>CEFOTAXIME NA STERILE (JP)</t>
  </si>
  <si>
    <t>1.80</t>
  </si>
  <si>
    <t>14.95</t>
  </si>
  <si>
    <t>461.46</t>
  </si>
  <si>
    <t>580266</t>
  </si>
  <si>
    <t>CEFOTAXIME NA STERILE (USP)</t>
  </si>
  <si>
    <t>QILU</t>
  </si>
  <si>
    <t>0.75</t>
  </si>
  <si>
    <t>2.87</t>
  </si>
  <si>
    <t>88.64</t>
  </si>
  <si>
    <t>674905</t>
  </si>
  <si>
    <t>CEFTRIAXONE NA HANMI TR</t>
  </si>
  <si>
    <t>CEFTRIAXONE</t>
  </si>
  <si>
    <t>Turkey</t>
  </si>
  <si>
    <t>3.97</t>
  </si>
  <si>
    <t>122.40</t>
  </si>
  <si>
    <t>867817</t>
  </si>
  <si>
    <t>CLOPIDOGREL CLOPIDOGREL ASY UJ F</t>
  </si>
  <si>
    <t>CLOPIDOGREL</t>
  </si>
  <si>
    <t>PRAVEEN LAB</t>
  </si>
  <si>
    <t>10.78</t>
  </si>
  <si>
    <t>19.48</t>
  </si>
  <si>
    <t>20.90</t>
  </si>
  <si>
    <t>11.98</t>
  </si>
  <si>
    <t>9.78</t>
  </si>
  <si>
    <t>26.53</t>
  </si>
  <si>
    <t>30.17</t>
  </si>
  <si>
    <t>54.53</t>
  </si>
  <si>
    <t>33.53</t>
  </si>
  <si>
    <t>56.00</t>
  </si>
  <si>
    <t>27.37</t>
  </si>
  <si>
    <t>818.20</t>
  </si>
  <si>
    <t>843.25</t>
  </si>
  <si>
    <t>1,524.11</t>
  </si>
  <si>
    <t>1,635.63</t>
  </si>
  <si>
    <t>937.16</t>
  </si>
  <si>
    <t>1,565.20</t>
  </si>
  <si>
    <t>764.99</t>
  </si>
  <si>
    <t>584772</t>
  </si>
  <si>
    <t>EFLORNITHINE HCL</t>
  </si>
  <si>
    <t>EFLORNITHINE</t>
  </si>
  <si>
    <t>SCINOPHARM</t>
  </si>
  <si>
    <t>3.00</t>
  </si>
  <si>
    <t>99.66</t>
  </si>
  <si>
    <t>2,786.08</t>
  </si>
  <si>
    <t>832626</t>
  </si>
  <si>
    <t>FELODIPINE FIN TR</t>
  </si>
  <si>
    <t>FELODIPINE</t>
  </si>
  <si>
    <t>ALEMBIC</t>
  </si>
  <si>
    <t>0.05</t>
  </si>
  <si>
    <t>0.20</t>
  </si>
  <si>
    <t>0.19</t>
  </si>
  <si>
    <t>0.12</t>
  </si>
  <si>
    <t>0.66</t>
  </si>
  <si>
    <t>20.49</t>
  </si>
  <si>
    <t>73.04</t>
  </si>
  <si>
    <t>69.39</t>
  </si>
  <si>
    <t>54.78</t>
  </si>
  <si>
    <t>43.83</t>
  </si>
  <si>
    <t>770409</t>
  </si>
  <si>
    <t>GLIBENCLAMIDE 25 KG IN</t>
  </si>
  <si>
    <t>GLIBENCLAMIDE</t>
  </si>
  <si>
    <t>0.21</t>
  </si>
  <si>
    <t>0.44</t>
  </si>
  <si>
    <t>25.66</t>
  </si>
  <si>
    <t>12.19</t>
  </si>
  <si>
    <t>833858</t>
  </si>
  <si>
    <t>IRBESARTAN</t>
  </si>
  <si>
    <t>TIANYU</t>
  </si>
  <si>
    <t>56.98</t>
  </si>
  <si>
    <t>53.00</t>
  </si>
  <si>
    <t>186.67</t>
  </si>
  <si>
    <t>1,636.40</t>
  </si>
  <si>
    <t>2,608.67</t>
  </si>
  <si>
    <t>3,130.40</t>
  </si>
  <si>
    <t>5,945.57</t>
  </si>
  <si>
    <t>5,217.33</t>
  </si>
  <si>
    <t>841996</t>
  </si>
  <si>
    <t>IRBESARTAN IRBESARTAN VOIE DIRECTE SR TR</t>
  </si>
  <si>
    <t>RUNDU</t>
  </si>
  <si>
    <t>-0.02</t>
  </si>
  <si>
    <t>782777</t>
  </si>
  <si>
    <t>LEVOFLOXACIN</t>
  </si>
  <si>
    <t>Apeloa</t>
  </si>
  <si>
    <t>10.50</t>
  </si>
  <si>
    <t>7.67</t>
  </si>
  <si>
    <t>19.69</t>
  </si>
  <si>
    <t>17.57</t>
  </si>
  <si>
    <t>28.11</t>
  </si>
  <si>
    <t>607.49</t>
  </si>
  <si>
    <t>491.30</t>
  </si>
  <si>
    <t>1,031.73</t>
  </si>
  <si>
    <t>851.91</t>
  </si>
  <si>
    <t>753.65</t>
  </si>
  <si>
    <t>786.08</t>
  </si>
  <si>
    <t>798100</t>
  </si>
  <si>
    <t>METFORMIN HCL SOHAN (IMPURITY F &lt;0.005%)</t>
  </si>
  <si>
    <t>METFORMIN</t>
  </si>
  <si>
    <t>SOHAN</t>
  </si>
  <si>
    <t>50.36</t>
  </si>
  <si>
    <t>21.90</t>
  </si>
  <si>
    <t>26.40</t>
  </si>
  <si>
    <t>22.50</t>
  </si>
  <si>
    <t>50.40</t>
  </si>
  <si>
    <t>1.06</t>
  </si>
  <si>
    <t>6.38</t>
  </si>
  <si>
    <t>206.14</t>
  </si>
  <si>
    <t>116.93</t>
  </si>
  <si>
    <t>29.23</t>
  </si>
  <si>
    <t>76.21</t>
  </si>
  <si>
    <t>91.87</t>
  </si>
  <si>
    <t>78.30</t>
  </si>
  <si>
    <t>175.39</t>
  </si>
  <si>
    <t>838877</t>
  </si>
  <si>
    <t>METRONIDAZOLE BENZOATE TR</t>
  </si>
  <si>
    <t>METRONIDAZOLE</t>
  </si>
  <si>
    <t>AARTI</t>
  </si>
  <si>
    <t>9.60</t>
  </si>
  <si>
    <t>6.11</t>
  </si>
  <si>
    <t>3.69</t>
  </si>
  <si>
    <t>2.56</t>
  </si>
  <si>
    <t>88.90</t>
  </si>
  <si>
    <t>56.59</t>
  </si>
  <si>
    <t>34.17</t>
  </si>
  <si>
    <t>15.65</t>
  </si>
  <si>
    <t>22.22</t>
  </si>
  <si>
    <t>817403</t>
  </si>
  <si>
    <t>METRONIDAZOLE MICRONIZED</t>
  </si>
  <si>
    <t>HUBEI</t>
  </si>
  <si>
    <t>84.00</t>
  </si>
  <si>
    <t>69.00</t>
  </si>
  <si>
    <t>54.00</t>
  </si>
  <si>
    <t>42.00</t>
  </si>
  <si>
    <t>34.72</t>
  </si>
  <si>
    <t>30.36</t>
  </si>
  <si>
    <t>5.28</t>
  </si>
  <si>
    <t>1,076.88</t>
  </si>
  <si>
    <t>845.94</t>
  </si>
  <si>
    <t>662.04</t>
  </si>
  <si>
    <t>514.92</t>
  </si>
  <si>
    <t>147.12</t>
  </si>
  <si>
    <t>770412</t>
  </si>
  <si>
    <t>PENTOXIFYLLINE (FINE, LOCAL TBN)OWN IN</t>
  </si>
  <si>
    <t>PENTOXIFYLLINE</t>
  </si>
  <si>
    <t>31.35</t>
  </si>
  <si>
    <t>11.92</t>
  </si>
  <si>
    <t>11.85</t>
  </si>
  <si>
    <t>70.65</t>
  </si>
  <si>
    <t>26.77</t>
  </si>
  <si>
    <t>2,179.77</t>
  </si>
  <si>
    <t>747.63</t>
  </si>
  <si>
    <t>743.73</t>
  </si>
  <si>
    <t>770413</t>
  </si>
  <si>
    <t>PENTOXIFYLLINE (STD, LOCAL TBN)OWN IN</t>
  </si>
  <si>
    <t>32.60</t>
  </si>
  <si>
    <t>11.00</t>
  </si>
  <si>
    <t>73.23</t>
  </si>
  <si>
    <t>24.71</t>
  </si>
  <si>
    <t>2,260.26</t>
  </si>
  <si>
    <t>690.51</t>
  </si>
  <si>
    <t>80.35</t>
  </si>
  <si>
    <t>770410</t>
  </si>
  <si>
    <t>PHENIRAMINE MALEATE BP (OWN) IN</t>
  </si>
  <si>
    <t>PHENIRAMINE</t>
  </si>
  <si>
    <t>789181</t>
  </si>
  <si>
    <t>VIGABATRIN 5VP REC.ETOH</t>
  </si>
  <si>
    <t>VIGABATRIN</t>
  </si>
  <si>
    <t>MSN</t>
  </si>
  <si>
    <t>2.96</t>
  </si>
  <si>
    <t>71.89</t>
  </si>
  <si>
    <t>76.98</t>
  </si>
  <si>
    <t>2,218.35</t>
  </si>
  <si>
    <t>2,152.18</t>
  </si>
  <si>
    <t>896095</t>
  </si>
  <si>
    <t>ADENOSINE</t>
  </si>
  <si>
    <t xml:space="preserve"> ADENOSCAN</t>
  </si>
  <si>
    <t xml:space="preserve">WORCKHARDT/ABIL	</t>
  </si>
  <si>
    <t>41.82</t>
  </si>
  <si>
    <t>761734</t>
  </si>
  <si>
    <t>ETRONIDAZOLE BENZOATE STANDARD</t>
  </si>
  <si>
    <t>ACHARYA</t>
  </si>
  <si>
    <t>0.13</t>
  </si>
  <si>
    <t>9.72</t>
  </si>
  <si>
    <t>757147</t>
  </si>
  <si>
    <t>AMBROXOL HCL MICRONIZED 10µM (SHILPA)</t>
  </si>
  <si>
    <t>AMBROXOL</t>
  </si>
  <si>
    <t>SHILPA</t>
  </si>
  <si>
    <t>46.96</t>
  </si>
  <si>
    <t>730736</t>
  </si>
  <si>
    <t>BROMHEXINE HCL FDC LIMITED</t>
  </si>
  <si>
    <t>BROMHEXINE</t>
  </si>
  <si>
    <t>FDC</t>
  </si>
  <si>
    <t>6.18</t>
  </si>
  <si>
    <t>935941</t>
  </si>
  <si>
    <t>LASIX 20MG/2ML INJ AM10 M60 LK</t>
  </si>
  <si>
    <t>34.43</t>
  </si>
  <si>
    <t>17.20</t>
  </si>
  <si>
    <t>17.28</t>
  </si>
  <si>
    <t>0.18</t>
  </si>
  <si>
    <t>6.52</t>
  </si>
  <si>
    <t>940228</t>
  </si>
  <si>
    <t>FUROSEMIDE (IPCA_EP GRADE_KR)</t>
  </si>
  <si>
    <t>0.72</t>
  </si>
  <si>
    <t>38.03</t>
  </si>
  <si>
    <t>74.00</t>
  </si>
  <si>
    <t>37.00</t>
  </si>
  <si>
    <t>499182</t>
  </si>
  <si>
    <t>COMBIFLAM MS CREAM 30 GM</t>
  </si>
  <si>
    <t>BEN-GAY_PF/METHYL SALICYLATE</t>
  </si>
  <si>
    <t>521.35</t>
  </si>
  <si>
    <t>3.31</t>
  </si>
  <si>
    <t>24.96</t>
  </si>
  <si>
    <t>822914</t>
  </si>
  <si>
    <t>PYRAZINAMIDE</t>
  </si>
  <si>
    <t>ANUH</t>
  </si>
  <si>
    <t>0.62</t>
  </si>
  <si>
    <t>47.35</t>
  </si>
  <si>
    <t>17.22</t>
  </si>
  <si>
    <t>822253</t>
  </si>
  <si>
    <t>LINARIA</t>
  </si>
  <si>
    <t>0.11</t>
  </si>
  <si>
    <t>9.54</t>
  </si>
  <si>
    <t>902632</t>
  </si>
  <si>
    <t>BELUMOSUDIL US (Pin Milled)</t>
  </si>
  <si>
    <t>94.18</t>
  </si>
  <si>
    <t>211.90</t>
  </si>
  <si>
    <t>188.35</t>
  </si>
  <si>
    <t>2,632.70</t>
  </si>
  <si>
    <t>789.81</t>
  </si>
  <si>
    <t>5,923.57</t>
  </si>
  <si>
    <t>5,265.39</t>
  </si>
  <si>
    <t>910115</t>
  </si>
  <si>
    <t>DAPSONE</t>
  </si>
  <si>
    <t>ATUL</t>
  </si>
  <si>
    <t>7.17</t>
  </si>
  <si>
    <t>221.20</t>
  </si>
  <si>
    <t>944812</t>
  </si>
  <si>
    <t>SOLIAN TAB. 200MG/30T</t>
  </si>
  <si>
    <t>UNT</t>
  </si>
  <si>
    <t>8.10</t>
  </si>
  <si>
    <t>16.20</t>
  </si>
  <si>
    <t>0.24</t>
  </si>
  <si>
    <t>3.15</t>
  </si>
  <si>
    <t>944813</t>
  </si>
  <si>
    <t>SOLIAN TAB. 400MG/100T</t>
  </si>
  <si>
    <t>11.68</t>
  </si>
  <si>
    <t>13.51</t>
  </si>
  <si>
    <t>9.84</t>
  </si>
  <si>
    <t>1.24</t>
  </si>
  <si>
    <t>15.14</t>
  </si>
  <si>
    <t>12.76</t>
  </si>
  <si>
    <t>10.60</t>
  </si>
  <si>
    <t>10.64</t>
  </si>
  <si>
    <t>907345</t>
  </si>
  <si>
    <t>Toustar Pen (sale pack)</t>
  </si>
  <si>
    <t>LANTUS_PF/INSULIN GLARGINE</t>
  </si>
  <si>
    <t>SHAILY</t>
  </si>
  <si>
    <t>9.22</t>
  </si>
  <si>
    <t>19.72</t>
  </si>
  <si>
    <t>1.29</t>
  </si>
  <si>
    <t>2.55</t>
  </si>
  <si>
    <t>2.58</t>
  </si>
  <si>
    <t>3.87</t>
  </si>
  <si>
    <t>42.82</t>
  </si>
  <si>
    <t>37.03</t>
  </si>
  <si>
    <t>73.01</t>
  </si>
  <si>
    <t>74.06</t>
  </si>
  <si>
    <t>111.08</t>
  </si>
  <si>
    <t>Shaily</t>
  </si>
  <si>
    <t>907348</t>
  </si>
  <si>
    <t>Toustar Pen PS (sample pack)</t>
  </si>
  <si>
    <t>30.06</t>
  </si>
  <si>
    <t>240.00</t>
  </si>
  <si>
    <t>199.69</t>
  </si>
  <si>
    <t>29.69</t>
  </si>
  <si>
    <t>4.53</t>
  </si>
  <si>
    <t>30.99</t>
  </si>
  <si>
    <t>25.79</t>
  </si>
  <si>
    <t>139.68</t>
  </si>
  <si>
    <t>888.67</t>
  </si>
  <si>
    <t>739.42</t>
  </si>
  <si>
    <t>109.94</t>
  </si>
  <si>
    <t>907351</t>
  </si>
  <si>
    <t>Allstar Reusable Insulin Pen</t>
  </si>
  <si>
    <t>MEDICAL DEVICES_PF</t>
  </si>
  <si>
    <t>207.54</t>
  </si>
  <si>
    <t>233.98</t>
  </si>
  <si>
    <t>252.56</t>
  </si>
  <si>
    <t>280.00</t>
  </si>
  <si>
    <t>29.18</t>
  </si>
  <si>
    <t>23.84</t>
  </si>
  <si>
    <t>27.89</t>
  </si>
  <si>
    <t>21.45</t>
  </si>
  <si>
    <t>33.37</t>
  </si>
  <si>
    <t>35.76</t>
  </si>
  <si>
    <t>900.58</t>
  </si>
  <si>
    <t>683.73</t>
  </si>
  <si>
    <t>799.91</t>
  </si>
  <si>
    <t>863.40</t>
  </si>
  <si>
    <t>615.36</t>
  </si>
  <si>
    <t>957.22</t>
  </si>
  <si>
    <t>1,025.59</t>
  </si>
  <si>
    <t>907352</t>
  </si>
  <si>
    <t>Allstar Reusable Insulin Pen PS</t>
  </si>
  <si>
    <t>103.86</t>
  </si>
  <si>
    <t>14.60</t>
  </si>
  <si>
    <t>14.30</t>
  </si>
  <si>
    <t>19.07</t>
  </si>
  <si>
    <t>450.69</t>
  </si>
  <si>
    <t>478.61</t>
  </si>
  <si>
    <t>410.24</t>
  </si>
  <si>
    <t>546.98</t>
  </si>
  <si>
    <t>907353</t>
  </si>
  <si>
    <t>Allstar Reusable Insulin Pen (Teal Col)</t>
  </si>
  <si>
    <t>0.55</t>
  </si>
  <si>
    <t>0.60</t>
  </si>
  <si>
    <t>17.08</t>
  </si>
  <si>
    <t>20.51</t>
  </si>
  <si>
    <t>17.09</t>
  </si>
  <si>
    <t>34.19</t>
  </si>
  <si>
    <t>907357</t>
  </si>
  <si>
    <t>Allstar Reusable Insulin Pen(TealCol) PS</t>
  </si>
  <si>
    <t>4.99</t>
  </si>
  <si>
    <t>18.46</t>
  </si>
  <si>
    <t>9.50</t>
  </si>
  <si>
    <t>1.79</t>
  </si>
  <si>
    <t>21.66</t>
  </si>
  <si>
    <t>63.09</t>
  </si>
  <si>
    <t>51.28</t>
  </si>
  <si>
    <t>32.48</t>
  </si>
  <si>
    <t>944814</t>
  </si>
  <si>
    <t>SOLIAN TAB. 400MG/30T</t>
  </si>
  <si>
    <t>58.12</t>
  </si>
  <si>
    <t>41.58</t>
  </si>
  <si>
    <t>49.76</t>
  </si>
  <si>
    <t>41.84</t>
  </si>
  <si>
    <t>2.19</t>
  </si>
  <si>
    <t>1.58</t>
  </si>
  <si>
    <t>16.17</t>
  </si>
  <si>
    <t>16.16</t>
  </si>
  <si>
    <t>16.27</t>
  </si>
  <si>
    <t>885527</t>
  </si>
  <si>
    <t>AMARYL MIR 2500MG TABCO BL3X10 M36 RU</t>
  </si>
  <si>
    <t>44.94</t>
  </si>
  <si>
    <t>2.70</t>
  </si>
  <si>
    <t>1.51</t>
  </si>
  <si>
    <t>1.49</t>
  </si>
  <si>
    <t>142.32</t>
  </si>
  <si>
    <t>62.53</t>
  </si>
  <si>
    <t>61.88</t>
  </si>
  <si>
    <t>124.41</t>
  </si>
  <si>
    <t>919259</t>
  </si>
  <si>
    <t>DAONIL 5MG TAB BL30 M25 IN</t>
  </si>
  <si>
    <t>919942</t>
  </si>
  <si>
    <t>OXETORONE FUMARATE (WATERSTONE)</t>
  </si>
  <si>
    <t>NOCERTONE_PF/OXETORONE FUMARATE</t>
  </si>
  <si>
    <t>WATERSTONE</t>
  </si>
  <si>
    <t>19.83</t>
  </si>
  <si>
    <t>23.27</t>
  </si>
  <si>
    <t>612.00</t>
  </si>
  <si>
    <t>650.43</t>
  </si>
  <si>
    <t>915036</t>
  </si>
  <si>
    <t>FUROSEMIDE (IPCA)</t>
  </si>
  <si>
    <t>2.30</t>
  </si>
  <si>
    <t>0.99</t>
  </si>
  <si>
    <t>16.29</t>
  </si>
  <si>
    <t>19.06</t>
  </si>
  <si>
    <t>8.45</t>
  </si>
  <si>
    <t>59.85</t>
  </si>
  <si>
    <t>70.02</t>
  </si>
  <si>
    <t>30.09</t>
  </si>
  <si>
    <t>236.39</t>
  </si>
  <si>
    <t>101.75</t>
  </si>
  <si>
    <t>1,674.70</t>
  </si>
  <si>
    <t>1,959.30</t>
  </si>
  <si>
    <t>915056</t>
  </si>
  <si>
    <t>SEVELAMER CARBONATE (SOLARA)</t>
  </si>
  <si>
    <t>124.13</t>
  </si>
  <si>
    <t>354.67</t>
  </si>
  <si>
    <t>297.40</t>
  </si>
  <si>
    <t>3,469.67</t>
  </si>
  <si>
    <t>9,913.33</t>
  </si>
  <si>
    <t>915201</t>
  </si>
  <si>
    <t>SEVELAMER HCL (SOLARA)</t>
  </si>
  <si>
    <t>RENAGEL_PF/SEVELAMER</t>
  </si>
  <si>
    <t>12.50</t>
  </si>
  <si>
    <t>29.06</t>
  </si>
  <si>
    <t>17.43</t>
  </si>
  <si>
    <t>72.75</t>
  </si>
  <si>
    <t>811.90</t>
  </si>
  <si>
    <t>487.01</t>
  </si>
  <si>
    <t>2,032.58</t>
  </si>
  <si>
    <t>915200</t>
  </si>
  <si>
    <t>SEVELAMER CARBONATE (WATERSTONE)</t>
  </si>
  <si>
    <t>3.33</t>
  </si>
  <si>
    <t>11.81</t>
  </si>
  <si>
    <t>330.11</t>
  </si>
  <si>
    <t>915040</t>
  </si>
  <si>
    <t>FUROSEMIDE (MANGALAM)</t>
  </si>
  <si>
    <t>MANGALAM</t>
  </si>
  <si>
    <t>13.43</t>
  </si>
  <si>
    <t>940227</t>
  </si>
  <si>
    <t>FUROSEMIDE (IPCA_EP GRADE_TR)</t>
  </si>
  <si>
    <t>0.06</t>
  </si>
  <si>
    <t>2.02</t>
  </si>
  <si>
    <t>62.33</t>
  </si>
  <si>
    <t>6.48</t>
  </si>
  <si>
    <t>935334</t>
  </si>
  <si>
    <t>METFORMIN HCL IOL (IMPURITY F&lt;0.005%)</t>
  </si>
  <si>
    <t>IOL</t>
  </si>
  <si>
    <t>4.50</t>
  </si>
  <si>
    <t>9.00</t>
  </si>
  <si>
    <t>18.41</t>
  </si>
  <si>
    <t>62.64</t>
  </si>
  <si>
    <t>31.32</t>
  </si>
  <si>
    <t>46.98</t>
  </si>
  <si>
    <t>934281</t>
  </si>
  <si>
    <t>HYOSCINE BUTYLBROMIDE BOEH371983 EX</t>
  </si>
  <si>
    <t>BUSCOPAN</t>
  </si>
  <si>
    <t>OPELLA</t>
  </si>
  <si>
    <t>7.78</t>
  </si>
  <si>
    <t>27.90</t>
  </si>
  <si>
    <t>780.00</t>
  </si>
  <si>
    <t>Taux_Croissance_Volume_RF1_RF2</t>
  </si>
  <si>
    <t>Product_Family</t>
  </si>
  <si>
    <t>Volume_RF1</t>
  </si>
  <si>
    <t>Volume_RF2</t>
  </si>
  <si>
    <t>Volume_RF3_Reel</t>
  </si>
  <si>
    <t>Volume_B26</t>
  </si>
  <si>
    <t>Spend_RF1</t>
  </si>
  <si>
    <t>Spend_RF2</t>
  </si>
  <si>
    <t>Spend_RF3_Reel</t>
  </si>
  <si>
    <t>Spend_B26</t>
  </si>
  <si>
    <t>AV_RF1</t>
  </si>
  <si>
    <t>AV_RF2</t>
  </si>
  <si>
    <t>AV_RF3_Reel</t>
  </si>
  <si>
    <t>AV_B26</t>
  </si>
  <si>
    <t>Taux_Croissance_Spend_RF1_RF2</t>
  </si>
  <si>
    <t>Taux_Croissance_AV_RF1_RF2</t>
  </si>
  <si>
    <t>Prix_Unitaire_RF1</t>
  </si>
  <si>
    <t>Prix_Unitaire_RF2</t>
  </si>
  <si>
    <t>Prix_Unitaire_RF3</t>
  </si>
  <si>
    <t>Prix_Unitaire_Moyen</t>
  </si>
  <si>
    <t>Ratio_AV_Spend_RF1</t>
  </si>
  <si>
    <t>Ratio_AV_Spend_RF2</t>
  </si>
  <si>
    <t>Ratio_AV_Spend_RF3</t>
  </si>
  <si>
    <t>Ratio_AV_Spend_Moyen</t>
  </si>
  <si>
    <t>Volume_RF1_RF2_Total</t>
  </si>
  <si>
    <t>Ecart_Budget_Realise_Volume_%</t>
  </si>
  <si>
    <t>Spend_RF1_RF2_Total</t>
  </si>
  <si>
    <t>Ecart_Budget_Realise_Spend_%</t>
  </si>
  <si>
    <t>AV_RF1_RF2_Total</t>
  </si>
  <si>
    <t>Ecart_Budget_Realise_AV_%</t>
  </si>
  <si>
    <t>Volume_2026_Realise</t>
  </si>
  <si>
    <t>Spend_2026_Realise</t>
  </si>
  <si>
    <t>AV_2026_Realise</t>
  </si>
  <si>
    <t>Volume_2025_Realise</t>
  </si>
  <si>
    <t>Spend_2025_Realise</t>
  </si>
  <si>
    <t>AV_2025_Realise</t>
  </si>
  <si>
    <t>Taux_Croissance_Volume_2025_2026</t>
  </si>
  <si>
    <t>Taux_Croissance_Spend_2025_2026</t>
  </si>
  <si>
    <t>Taux_Croissance_AV_2025_2026</t>
  </si>
  <si>
    <t>Volume_B27_Budget</t>
  </si>
  <si>
    <t>Spend_B27_Budget</t>
  </si>
  <si>
    <t>AV_B27_Budget</t>
  </si>
  <si>
    <t>Volume_H27_Existant</t>
  </si>
  <si>
    <t>Spend_H27_Existant</t>
  </si>
  <si>
    <t>AV_H27_Existant</t>
  </si>
  <si>
    <t>Volume_2027_S1_Tendance</t>
  </si>
  <si>
    <t>Spend_2027_S1_Tendance</t>
  </si>
  <si>
    <t>AV_2027_S1_Tendance</t>
  </si>
  <si>
    <t>Volume_2027_S2_Budget</t>
  </si>
  <si>
    <t>Spend_2027_S2_Budget</t>
  </si>
  <si>
    <t>AV_2027_S2_Budget</t>
  </si>
  <si>
    <t>Volume_2027_S3_Moyenne</t>
  </si>
  <si>
    <t>Spend_2027_S3_Moyenne</t>
  </si>
  <si>
    <t>AV_2027_S3_Moyenne</t>
  </si>
  <si>
    <t>Volume_2027_FINAL</t>
  </si>
  <si>
    <t>Spend_2027_FINAL</t>
  </si>
  <si>
    <t>AV_2027_FINAL</t>
  </si>
  <si>
    <t>Ecart_Forecast_vs_B27_Volume_%</t>
  </si>
  <si>
    <t>Ecart_Forecast_vs_B27_Spend_%</t>
  </si>
  <si>
    <t>Ecart_Forecast_vs_H27_Volume_%</t>
  </si>
  <si>
    <t>Ecart_Forecast_vs_H27_Spend_%</t>
  </si>
  <si>
    <t>Volume_B26_Budget</t>
  </si>
  <si>
    <t>Volume_RF1_Realise</t>
  </si>
  <si>
    <t>Volume_RF2_Realise</t>
  </si>
  <si>
    <t>Volume_RF3_Realise</t>
  </si>
  <si>
    <t>Volume_Total_Realise_2026</t>
  </si>
  <si>
    <t>Ecart_Budget_vs_Realise_Volume</t>
  </si>
  <si>
    <t>Ecart_Budget_vs_Realise_Volume_%</t>
  </si>
  <si>
    <t>MAPE_Volume_%</t>
  </si>
  <si>
    <t>Spend_B26_Budget</t>
  </si>
  <si>
    <t>Spend_RF1_Realise</t>
  </si>
  <si>
    <t>Spend_RF2_Realise</t>
  </si>
  <si>
    <t>Spend_RF3_Realise</t>
  </si>
  <si>
    <t>Spend_Total_Realise_2026</t>
  </si>
  <si>
    <t>Ecart_Budget_vs_Realise_Spend</t>
  </si>
  <si>
    <t>Ecart_Budget_vs_Realise_Spend_%</t>
  </si>
  <si>
    <t>MAPE_Spend_%</t>
  </si>
  <si>
    <t>AV_B26_Budget</t>
  </si>
  <si>
    <t>AV_RF1_Realise</t>
  </si>
  <si>
    <t>AV_RF2_Realise</t>
  </si>
  <si>
    <t>AV_RF3_Realise</t>
  </si>
  <si>
    <t>AV_Total_Realise_2026</t>
  </si>
  <si>
    <t>Ecart_Budget_vs_Realise_AV</t>
  </si>
  <si>
    <t>Ecart_Budget_vs_Realise_AV_%</t>
  </si>
  <si>
    <t>MAPE_AV_%</t>
  </si>
  <si>
    <t>Precision_Volume</t>
  </si>
  <si>
    <t>Precision_Spend</t>
  </si>
  <si>
    <t>Precision_AV</t>
  </si>
  <si>
    <t>N/A</t>
  </si>
  <si>
    <t>À améliorer (&gt; 15%)</t>
  </si>
  <si>
    <t>Excellent (&lt; 5%)</t>
  </si>
  <si>
    <t>Acceptable (10-15%)</t>
  </si>
  <si>
    <t>Bon (5-10%)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</si>
</sst>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07"/>
  <sheetViews>
    <sheetView tabSelected="1" workbookViewId="0">
      <selection activeCell="F1" sqref="F1"/>
    </sheetView>
  </sheetViews>
  <sheetFormatPr baseColWidth="10" defaultColWidth="8.7265625" defaultRowHeight="14.5" x14ac:dyDescent="0.35"/>
  <cols>
    <col min="5" max="5" width="21.6328125" customWidth="1"/>
    <col min="6" max="6" width="19.36328125" customWidth="1"/>
    <col min="15" max="15" width="18.08984375" customWidth="1"/>
    <col min="16" max="16" width="16.90625" customWidth="1"/>
    <col min="17" max="17" width="16.7265625" customWidth="1"/>
    <col min="18" max="18" width="17.36328125" customWidth="1"/>
    <col min="19" max="19" width="17.08984375" customWidth="1"/>
    <col min="20" max="20" width="12.6328125" customWidth="1"/>
    <col min="21" max="21" width="14.36328125" customWidth="1"/>
    <col min="22" max="22" width="15.08984375" customWidth="1"/>
    <col min="25" max="25" width="15.6328125" customWidth="1"/>
    <col min="26" max="26" width="18.54296875" customWidth="1"/>
    <col min="27" max="27" width="13.36328125" customWidth="1"/>
    <col min="28" max="28" width="20.7265625" customWidth="1"/>
    <col min="29" max="30" width="14.453125" customWidth="1"/>
    <col min="31" max="31" width="13.6328125" customWidth="1"/>
    <col min="32" max="32" width="20.6328125" customWidth="1"/>
    <col min="33" max="34" width="14" customWidth="1"/>
    <col min="35" max="35" width="18.36328125" customWidth="1"/>
    <col min="36" max="36" width="16.453125" customWidth="1"/>
    <col min="37" max="37" width="14.1796875" customWidth="1"/>
    <col min="38" max="38" width="17.90625" customWidth="1"/>
    <col min="39" max="39" width="30.90625" customWidth="1"/>
  </cols>
  <sheetData>
    <row r="1" spans="1:3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5">
      <c r="A2" t="s">
        <v>39</v>
      </c>
      <c r="B2" t="s">
        <v>40</v>
      </c>
      <c r="C2">
        <v>425388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 t="s">
        <v>51</v>
      </c>
      <c r="O2" t="s">
        <v>52</v>
      </c>
      <c r="P2" t="s">
        <v>52</v>
      </c>
      <c r="Q2" t="s">
        <v>53</v>
      </c>
      <c r="R2" t="s">
        <v>53</v>
      </c>
      <c r="S2" t="s">
        <v>53</v>
      </c>
      <c r="T2" t="s">
        <v>54</v>
      </c>
      <c r="U2" t="s">
        <v>54</v>
      </c>
      <c r="V2" t="s">
        <v>52</v>
      </c>
      <c r="W2" t="s">
        <v>52</v>
      </c>
      <c r="X2" t="s">
        <v>52</v>
      </c>
      <c r="Y2" t="s">
        <v>55</v>
      </c>
      <c r="Z2">
        <v>3.53</v>
      </c>
      <c r="AA2">
        <v>3.53</v>
      </c>
      <c r="AB2" t="s">
        <v>56</v>
      </c>
      <c r="AC2" t="s">
        <v>56</v>
      </c>
      <c r="AD2" t="s">
        <v>52</v>
      </c>
      <c r="AE2" t="s">
        <v>52</v>
      </c>
      <c r="AF2" t="s">
        <v>52</v>
      </c>
      <c r="AG2" t="s">
        <v>57</v>
      </c>
      <c r="AH2" t="s">
        <v>57</v>
      </c>
      <c r="AI2" t="s">
        <v>57</v>
      </c>
      <c r="AJ2" t="s">
        <v>58</v>
      </c>
      <c r="AK2" t="s">
        <v>58</v>
      </c>
      <c r="AL2" t="s">
        <v>52</v>
      </c>
      <c r="AM2" t="s">
        <v>49</v>
      </c>
    </row>
    <row r="3" spans="1:39" x14ac:dyDescent="0.35">
      <c r="A3" t="s">
        <v>39</v>
      </c>
      <c r="B3" t="s">
        <v>59</v>
      </c>
      <c r="C3">
        <v>425353</v>
      </c>
      <c r="D3" t="s">
        <v>41</v>
      </c>
      <c r="E3" t="s">
        <v>60</v>
      </c>
      <c r="F3" t="s">
        <v>61</v>
      </c>
      <c r="G3" t="s">
        <v>44</v>
      </c>
      <c r="H3" t="s">
        <v>45</v>
      </c>
      <c r="I3" t="s">
        <v>46</v>
      </c>
      <c r="J3" t="s">
        <v>47</v>
      </c>
      <c r="K3" t="s">
        <v>48</v>
      </c>
      <c r="L3" t="s">
        <v>62</v>
      </c>
      <c r="M3" t="s">
        <v>63</v>
      </c>
      <c r="N3" t="s">
        <v>51</v>
      </c>
      <c r="O3" t="s">
        <v>64</v>
      </c>
      <c r="P3" t="s">
        <v>52</v>
      </c>
      <c r="Q3" t="s">
        <v>52</v>
      </c>
      <c r="R3" t="s">
        <v>52</v>
      </c>
      <c r="S3" t="s">
        <v>52</v>
      </c>
      <c r="T3" t="s">
        <v>52</v>
      </c>
      <c r="U3" t="s">
        <v>65</v>
      </c>
      <c r="V3" t="s">
        <v>52</v>
      </c>
      <c r="W3" t="s">
        <v>66</v>
      </c>
      <c r="X3" t="s">
        <v>52</v>
      </c>
      <c r="Y3" t="s">
        <v>52</v>
      </c>
      <c r="Z3">
        <v>0.16</v>
      </c>
      <c r="AA3">
        <v>0.16</v>
      </c>
      <c r="AB3" t="s">
        <v>52</v>
      </c>
      <c r="AC3" t="s">
        <v>67</v>
      </c>
      <c r="AD3" t="s">
        <v>52</v>
      </c>
      <c r="AE3" t="s">
        <v>68</v>
      </c>
      <c r="AF3" t="s">
        <v>52</v>
      </c>
      <c r="AG3" t="s">
        <v>52</v>
      </c>
      <c r="AH3" t="s">
        <v>69</v>
      </c>
      <c r="AI3" t="s">
        <v>69</v>
      </c>
      <c r="AJ3" t="s">
        <v>52</v>
      </c>
      <c r="AK3" t="s">
        <v>70</v>
      </c>
      <c r="AL3" t="s">
        <v>52</v>
      </c>
      <c r="AM3" t="s">
        <v>49</v>
      </c>
    </row>
    <row r="4" spans="1:39" x14ac:dyDescent="0.35">
      <c r="A4" t="s">
        <v>39</v>
      </c>
      <c r="B4" t="s">
        <v>71</v>
      </c>
      <c r="C4">
        <v>340437</v>
      </c>
      <c r="D4" t="s">
        <v>72</v>
      </c>
      <c r="E4" t="s">
        <v>73</v>
      </c>
      <c r="F4" t="s">
        <v>74</v>
      </c>
      <c r="G4" t="s">
        <v>75</v>
      </c>
      <c r="H4" t="s">
        <v>76</v>
      </c>
      <c r="I4" t="s">
        <v>77</v>
      </c>
      <c r="J4" t="s">
        <v>78</v>
      </c>
      <c r="K4" t="s">
        <v>79</v>
      </c>
      <c r="L4" t="s">
        <v>80</v>
      </c>
      <c r="M4" t="s">
        <v>81</v>
      </c>
      <c r="N4" t="s">
        <v>82</v>
      </c>
      <c r="O4" t="s">
        <v>83</v>
      </c>
      <c r="P4" t="s">
        <v>84</v>
      </c>
      <c r="Q4" t="s">
        <v>85</v>
      </c>
      <c r="R4" t="s">
        <v>86</v>
      </c>
      <c r="S4" t="s">
        <v>87</v>
      </c>
      <c r="T4" t="s">
        <v>88</v>
      </c>
      <c r="U4" t="s">
        <v>89</v>
      </c>
      <c r="V4" t="s">
        <v>90</v>
      </c>
      <c r="W4" t="s">
        <v>91</v>
      </c>
      <c r="X4" t="s">
        <v>92</v>
      </c>
      <c r="Y4" t="s">
        <v>93</v>
      </c>
      <c r="Z4">
        <v>36.81</v>
      </c>
      <c r="AA4">
        <v>35.96</v>
      </c>
      <c r="AB4" t="s">
        <v>94</v>
      </c>
      <c r="AC4" t="s">
        <v>95</v>
      </c>
      <c r="AD4" t="s">
        <v>96</v>
      </c>
      <c r="AE4" t="s">
        <v>97</v>
      </c>
      <c r="AF4" t="s">
        <v>98</v>
      </c>
      <c r="AG4" t="s">
        <v>99</v>
      </c>
      <c r="AH4" t="s">
        <v>100</v>
      </c>
      <c r="AI4" t="s">
        <v>101</v>
      </c>
      <c r="AJ4" t="s">
        <v>102</v>
      </c>
      <c r="AK4" t="s">
        <v>103</v>
      </c>
      <c r="AL4" t="s">
        <v>104</v>
      </c>
      <c r="AM4" t="s">
        <v>105</v>
      </c>
    </row>
    <row r="5" spans="1:39" x14ac:dyDescent="0.35">
      <c r="A5" t="s">
        <v>39</v>
      </c>
      <c r="B5" t="s">
        <v>106</v>
      </c>
      <c r="C5">
        <v>349427</v>
      </c>
      <c r="D5" t="s">
        <v>72</v>
      </c>
      <c r="E5" t="s">
        <v>107</v>
      </c>
      <c r="F5" t="s">
        <v>74</v>
      </c>
      <c r="G5" t="s">
        <v>75</v>
      </c>
      <c r="H5" t="s">
        <v>76</v>
      </c>
      <c r="I5" t="s">
        <v>108</v>
      </c>
      <c r="J5" t="s">
        <v>78</v>
      </c>
      <c r="K5" t="s">
        <v>79</v>
      </c>
      <c r="L5" t="s">
        <v>109</v>
      </c>
      <c r="M5" t="s">
        <v>81</v>
      </c>
      <c r="N5" t="s">
        <v>82</v>
      </c>
      <c r="O5" t="s">
        <v>110</v>
      </c>
      <c r="P5" t="s">
        <v>52</v>
      </c>
      <c r="Q5" t="s">
        <v>52</v>
      </c>
      <c r="R5" t="s">
        <v>52</v>
      </c>
      <c r="S5" t="s">
        <v>52</v>
      </c>
      <c r="T5" t="s">
        <v>52</v>
      </c>
      <c r="U5" t="s">
        <v>52</v>
      </c>
      <c r="V5" t="s">
        <v>52</v>
      </c>
      <c r="W5" t="s">
        <v>111</v>
      </c>
      <c r="X5" t="s">
        <v>52</v>
      </c>
      <c r="Y5" t="s">
        <v>52</v>
      </c>
      <c r="Z5">
        <v>0</v>
      </c>
      <c r="AA5">
        <v>0</v>
      </c>
      <c r="AB5" t="s">
        <v>52</v>
      </c>
      <c r="AC5" t="s">
        <v>52</v>
      </c>
      <c r="AD5" t="s">
        <v>52</v>
      </c>
      <c r="AE5" t="s">
        <v>112</v>
      </c>
      <c r="AF5" t="s">
        <v>52</v>
      </c>
      <c r="AG5" t="s">
        <v>52</v>
      </c>
      <c r="AH5" t="s">
        <v>52</v>
      </c>
      <c r="AI5" t="s">
        <v>52</v>
      </c>
      <c r="AJ5" t="s">
        <v>52</v>
      </c>
      <c r="AK5" t="s">
        <v>52</v>
      </c>
      <c r="AL5" t="s">
        <v>52</v>
      </c>
      <c r="AM5" t="s">
        <v>113</v>
      </c>
    </row>
    <row r="6" spans="1:39" x14ac:dyDescent="0.35">
      <c r="A6" t="s">
        <v>39</v>
      </c>
      <c r="B6" t="s">
        <v>114</v>
      </c>
      <c r="C6">
        <v>341766</v>
      </c>
      <c r="D6" t="s">
        <v>72</v>
      </c>
      <c r="E6" t="s">
        <v>115</v>
      </c>
      <c r="F6" t="s">
        <v>116</v>
      </c>
      <c r="G6" t="s">
        <v>75</v>
      </c>
      <c r="H6" t="s">
        <v>45</v>
      </c>
      <c r="I6" t="s">
        <v>108</v>
      </c>
      <c r="J6" t="s">
        <v>78</v>
      </c>
      <c r="K6" t="s">
        <v>79</v>
      </c>
      <c r="L6" t="s">
        <v>117</v>
      </c>
      <c r="M6" t="s">
        <v>81</v>
      </c>
      <c r="N6" t="s">
        <v>82</v>
      </c>
      <c r="O6" t="s">
        <v>118</v>
      </c>
      <c r="P6" t="s">
        <v>119</v>
      </c>
      <c r="Q6" t="s">
        <v>120</v>
      </c>
      <c r="R6" t="s">
        <v>121</v>
      </c>
      <c r="S6" t="s">
        <v>122</v>
      </c>
      <c r="T6" t="s">
        <v>123</v>
      </c>
      <c r="U6" t="s">
        <v>123</v>
      </c>
      <c r="V6" t="s">
        <v>124</v>
      </c>
      <c r="W6" t="s">
        <v>125</v>
      </c>
      <c r="X6" t="s">
        <v>126</v>
      </c>
      <c r="Y6" t="s">
        <v>127</v>
      </c>
      <c r="Z6">
        <v>10.36</v>
      </c>
      <c r="AA6">
        <v>9.56</v>
      </c>
      <c r="AB6" t="s">
        <v>128</v>
      </c>
      <c r="AC6" t="s">
        <v>128</v>
      </c>
      <c r="AD6" t="s">
        <v>129</v>
      </c>
      <c r="AE6" t="s">
        <v>130</v>
      </c>
      <c r="AF6" t="s">
        <v>131</v>
      </c>
      <c r="AG6" t="s">
        <v>132</v>
      </c>
      <c r="AH6" t="s">
        <v>133</v>
      </c>
      <c r="AI6" t="s">
        <v>134</v>
      </c>
      <c r="AJ6" t="s">
        <v>135</v>
      </c>
      <c r="AK6" t="s">
        <v>135</v>
      </c>
      <c r="AL6" t="s">
        <v>136</v>
      </c>
      <c r="AM6" t="s">
        <v>117</v>
      </c>
    </row>
    <row r="7" spans="1:39" x14ac:dyDescent="0.35">
      <c r="A7" t="s">
        <v>39</v>
      </c>
      <c r="B7" t="s">
        <v>137</v>
      </c>
      <c r="C7">
        <v>341762</v>
      </c>
      <c r="D7" t="s">
        <v>72</v>
      </c>
      <c r="E7" t="s">
        <v>138</v>
      </c>
      <c r="F7" t="s">
        <v>116</v>
      </c>
      <c r="G7" t="s">
        <v>75</v>
      </c>
      <c r="H7" t="s">
        <v>45</v>
      </c>
      <c r="I7" t="s">
        <v>108</v>
      </c>
      <c r="J7" t="s">
        <v>78</v>
      </c>
      <c r="K7" t="s">
        <v>79</v>
      </c>
      <c r="L7" t="s">
        <v>117</v>
      </c>
      <c r="M7" t="s">
        <v>81</v>
      </c>
      <c r="N7" t="s">
        <v>82</v>
      </c>
      <c r="O7" t="s">
        <v>139</v>
      </c>
      <c r="P7" t="s">
        <v>140</v>
      </c>
      <c r="Q7" t="s">
        <v>141</v>
      </c>
      <c r="R7" t="s">
        <v>142</v>
      </c>
      <c r="S7" t="s">
        <v>143</v>
      </c>
      <c r="T7" t="s">
        <v>144</v>
      </c>
      <c r="U7" t="s">
        <v>145</v>
      </c>
      <c r="V7" t="s">
        <v>145</v>
      </c>
      <c r="W7" t="s">
        <v>146</v>
      </c>
      <c r="X7" t="s">
        <v>147</v>
      </c>
      <c r="Y7" t="s">
        <v>148</v>
      </c>
      <c r="Z7">
        <v>21.47</v>
      </c>
      <c r="AA7">
        <v>19.37</v>
      </c>
      <c r="AB7" t="s">
        <v>149</v>
      </c>
      <c r="AC7" t="s">
        <v>150</v>
      </c>
      <c r="AD7" t="s">
        <v>150</v>
      </c>
      <c r="AE7" t="s">
        <v>151</v>
      </c>
      <c r="AF7" t="s">
        <v>152</v>
      </c>
      <c r="AG7" t="s">
        <v>153</v>
      </c>
      <c r="AH7" t="s">
        <v>154</v>
      </c>
      <c r="AI7" t="s">
        <v>155</v>
      </c>
      <c r="AJ7" t="s">
        <v>156</v>
      </c>
      <c r="AK7" t="s">
        <v>157</v>
      </c>
      <c r="AL7" t="s">
        <v>157</v>
      </c>
      <c r="AM7" t="s">
        <v>117</v>
      </c>
    </row>
    <row r="8" spans="1:39" x14ac:dyDescent="0.35">
      <c r="A8" t="s">
        <v>39</v>
      </c>
      <c r="B8" t="s">
        <v>158</v>
      </c>
      <c r="C8">
        <v>346758</v>
      </c>
      <c r="D8" t="s">
        <v>72</v>
      </c>
      <c r="E8" t="s">
        <v>159</v>
      </c>
      <c r="F8" t="s">
        <v>160</v>
      </c>
      <c r="G8" t="s">
        <v>75</v>
      </c>
      <c r="H8" t="s">
        <v>45</v>
      </c>
      <c r="I8" t="s">
        <v>161</v>
      </c>
      <c r="J8" t="s">
        <v>78</v>
      </c>
      <c r="K8" t="s">
        <v>79</v>
      </c>
      <c r="L8" t="s">
        <v>162</v>
      </c>
      <c r="M8" t="s">
        <v>81</v>
      </c>
      <c r="N8" t="s">
        <v>82</v>
      </c>
      <c r="O8" t="s">
        <v>163</v>
      </c>
      <c r="P8" t="s">
        <v>164</v>
      </c>
      <c r="Q8" t="s">
        <v>165</v>
      </c>
      <c r="R8" t="s">
        <v>52</v>
      </c>
      <c r="S8" t="s">
        <v>52</v>
      </c>
      <c r="T8" t="s">
        <v>166</v>
      </c>
      <c r="U8" t="s">
        <v>52</v>
      </c>
      <c r="V8" t="s">
        <v>52</v>
      </c>
      <c r="W8" t="s">
        <v>167</v>
      </c>
      <c r="X8" t="s">
        <v>168</v>
      </c>
      <c r="Y8" t="s">
        <v>169</v>
      </c>
      <c r="Z8">
        <v>0</v>
      </c>
      <c r="AA8">
        <v>0</v>
      </c>
      <c r="AB8" t="s">
        <v>170</v>
      </c>
      <c r="AC8" t="s">
        <v>52</v>
      </c>
      <c r="AD8" t="s">
        <v>52</v>
      </c>
      <c r="AE8" t="s">
        <v>171</v>
      </c>
      <c r="AF8" t="s">
        <v>172</v>
      </c>
      <c r="AG8" t="s">
        <v>173</v>
      </c>
      <c r="AH8" t="s">
        <v>52</v>
      </c>
      <c r="AI8" t="s">
        <v>52</v>
      </c>
      <c r="AJ8" t="s">
        <v>174</v>
      </c>
      <c r="AK8" t="s">
        <v>52</v>
      </c>
      <c r="AL8" t="s">
        <v>52</v>
      </c>
      <c r="AM8" t="s">
        <v>175</v>
      </c>
    </row>
    <row r="9" spans="1:39" x14ac:dyDescent="0.35">
      <c r="A9" t="s">
        <v>39</v>
      </c>
      <c r="B9" t="s">
        <v>176</v>
      </c>
      <c r="C9">
        <v>346757</v>
      </c>
      <c r="D9" t="s">
        <v>72</v>
      </c>
      <c r="E9" t="s">
        <v>177</v>
      </c>
      <c r="F9" t="s">
        <v>160</v>
      </c>
      <c r="G9" t="s">
        <v>75</v>
      </c>
      <c r="H9" t="s">
        <v>45</v>
      </c>
      <c r="I9" t="s">
        <v>161</v>
      </c>
      <c r="J9" t="s">
        <v>78</v>
      </c>
      <c r="K9" t="s">
        <v>79</v>
      </c>
      <c r="L9" t="s">
        <v>162</v>
      </c>
      <c r="M9" t="s">
        <v>81</v>
      </c>
      <c r="N9" t="s">
        <v>82</v>
      </c>
      <c r="O9" t="s">
        <v>178</v>
      </c>
      <c r="P9" t="s">
        <v>165</v>
      </c>
      <c r="Q9" t="s">
        <v>178</v>
      </c>
      <c r="R9" t="s">
        <v>52</v>
      </c>
      <c r="S9" t="s">
        <v>52</v>
      </c>
      <c r="T9" t="s">
        <v>178</v>
      </c>
      <c r="U9" t="s">
        <v>52</v>
      </c>
      <c r="V9" t="s">
        <v>52</v>
      </c>
      <c r="W9" t="s">
        <v>179</v>
      </c>
      <c r="X9" t="s">
        <v>180</v>
      </c>
      <c r="Y9" t="s">
        <v>181</v>
      </c>
      <c r="Z9">
        <v>0</v>
      </c>
      <c r="AA9">
        <v>0</v>
      </c>
      <c r="AB9" t="s">
        <v>181</v>
      </c>
      <c r="AC9" t="s">
        <v>52</v>
      </c>
      <c r="AD9" t="s">
        <v>52</v>
      </c>
      <c r="AE9" t="s">
        <v>182</v>
      </c>
      <c r="AF9" t="s">
        <v>183</v>
      </c>
      <c r="AG9" t="s">
        <v>184</v>
      </c>
      <c r="AH9" t="s">
        <v>52</v>
      </c>
      <c r="AI9" t="s">
        <v>52</v>
      </c>
      <c r="AJ9" t="s">
        <v>184</v>
      </c>
      <c r="AK9" t="s">
        <v>52</v>
      </c>
      <c r="AL9" t="s">
        <v>52</v>
      </c>
      <c r="AM9" t="s">
        <v>175</v>
      </c>
    </row>
    <row r="10" spans="1:39" x14ac:dyDescent="0.35">
      <c r="A10" t="s">
        <v>39</v>
      </c>
      <c r="B10" t="s">
        <v>185</v>
      </c>
      <c r="C10">
        <v>330030</v>
      </c>
      <c r="D10" t="s">
        <v>72</v>
      </c>
      <c r="E10" t="s">
        <v>186</v>
      </c>
      <c r="F10" t="s">
        <v>187</v>
      </c>
      <c r="G10" t="s">
        <v>75</v>
      </c>
      <c r="H10" t="s">
        <v>45</v>
      </c>
      <c r="I10" t="s">
        <v>188</v>
      </c>
      <c r="J10" t="s">
        <v>78</v>
      </c>
      <c r="K10" t="s">
        <v>79</v>
      </c>
      <c r="L10" t="s">
        <v>189</v>
      </c>
      <c r="M10" t="s">
        <v>81</v>
      </c>
      <c r="N10" t="s">
        <v>82</v>
      </c>
      <c r="O10" t="s">
        <v>190</v>
      </c>
      <c r="P10" t="s">
        <v>191</v>
      </c>
      <c r="Q10" t="s">
        <v>192</v>
      </c>
      <c r="R10" t="s">
        <v>193</v>
      </c>
      <c r="S10" t="s">
        <v>194</v>
      </c>
      <c r="T10" t="s">
        <v>195</v>
      </c>
      <c r="U10" t="s">
        <v>196</v>
      </c>
      <c r="V10" t="s">
        <v>197</v>
      </c>
      <c r="W10" t="s">
        <v>198</v>
      </c>
      <c r="X10" t="s">
        <v>199</v>
      </c>
      <c r="Y10" t="s">
        <v>200</v>
      </c>
      <c r="Z10">
        <v>2.69</v>
      </c>
      <c r="AA10">
        <v>3.07</v>
      </c>
      <c r="AB10" t="s">
        <v>201</v>
      </c>
      <c r="AC10" t="s">
        <v>202</v>
      </c>
      <c r="AD10" t="s">
        <v>203</v>
      </c>
      <c r="AE10" t="s">
        <v>204</v>
      </c>
      <c r="AF10" t="s">
        <v>205</v>
      </c>
      <c r="AG10" t="s">
        <v>206</v>
      </c>
      <c r="AH10" t="s">
        <v>207</v>
      </c>
      <c r="AI10" t="s">
        <v>208</v>
      </c>
      <c r="AJ10" t="s">
        <v>209</v>
      </c>
      <c r="AK10" t="s">
        <v>210</v>
      </c>
      <c r="AL10" t="s">
        <v>211</v>
      </c>
      <c r="AM10" t="s">
        <v>212</v>
      </c>
    </row>
    <row r="11" spans="1:39" x14ac:dyDescent="0.35">
      <c r="A11" t="s">
        <v>39</v>
      </c>
      <c r="B11" t="s">
        <v>213</v>
      </c>
      <c r="C11">
        <v>347768</v>
      </c>
      <c r="D11" t="s">
        <v>72</v>
      </c>
      <c r="E11" t="s">
        <v>214</v>
      </c>
      <c r="F11" t="s">
        <v>215</v>
      </c>
      <c r="G11" t="s">
        <v>75</v>
      </c>
      <c r="H11" t="s">
        <v>45</v>
      </c>
      <c r="I11" t="s">
        <v>108</v>
      </c>
      <c r="J11" t="s">
        <v>78</v>
      </c>
      <c r="K11" t="s">
        <v>79</v>
      </c>
      <c r="L11" t="s">
        <v>117</v>
      </c>
      <c r="M11" t="s">
        <v>81</v>
      </c>
      <c r="N11" t="s">
        <v>82</v>
      </c>
      <c r="O11" t="s">
        <v>216</v>
      </c>
      <c r="P11" t="s">
        <v>52</v>
      </c>
      <c r="Q11" t="s">
        <v>52</v>
      </c>
      <c r="R11" t="s">
        <v>52</v>
      </c>
      <c r="S11" t="s">
        <v>52</v>
      </c>
      <c r="T11" t="s">
        <v>52</v>
      </c>
      <c r="U11" t="s">
        <v>52</v>
      </c>
      <c r="V11" t="s">
        <v>52</v>
      </c>
      <c r="W11" t="s">
        <v>217</v>
      </c>
      <c r="X11" t="s">
        <v>52</v>
      </c>
      <c r="Y11" t="s">
        <v>52</v>
      </c>
      <c r="Z11">
        <v>0</v>
      </c>
      <c r="AA11">
        <v>0</v>
      </c>
      <c r="AB11" t="s">
        <v>52</v>
      </c>
      <c r="AC11" t="s">
        <v>52</v>
      </c>
      <c r="AD11" t="s">
        <v>52</v>
      </c>
      <c r="AE11" t="s">
        <v>218</v>
      </c>
      <c r="AF11" t="s">
        <v>52</v>
      </c>
      <c r="AG11" t="s">
        <v>52</v>
      </c>
      <c r="AH11" t="s">
        <v>52</v>
      </c>
      <c r="AI11" t="s">
        <v>52</v>
      </c>
      <c r="AJ11" t="s">
        <v>52</v>
      </c>
      <c r="AK11" t="s">
        <v>52</v>
      </c>
      <c r="AL11" t="s">
        <v>52</v>
      </c>
      <c r="AM11" t="s">
        <v>117</v>
      </c>
    </row>
    <row r="12" spans="1:39" x14ac:dyDescent="0.35">
      <c r="A12" t="s">
        <v>39</v>
      </c>
      <c r="B12" t="s">
        <v>219</v>
      </c>
      <c r="C12">
        <v>342326</v>
      </c>
      <c r="D12" t="s">
        <v>72</v>
      </c>
      <c r="E12" t="s">
        <v>220</v>
      </c>
      <c r="F12" t="s">
        <v>221</v>
      </c>
      <c r="G12" t="s">
        <v>75</v>
      </c>
      <c r="H12" t="s">
        <v>45</v>
      </c>
      <c r="I12" t="s">
        <v>108</v>
      </c>
      <c r="J12" t="s">
        <v>78</v>
      </c>
      <c r="K12" t="s">
        <v>79</v>
      </c>
      <c r="L12" t="s">
        <v>117</v>
      </c>
      <c r="M12" t="s">
        <v>81</v>
      </c>
      <c r="N12" t="s">
        <v>82</v>
      </c>
      <c r="O12" t="s">
        <v>222</v>
      </c>
      <c r="P12" t="s">
        <v>223</v>
      </c>
      <c r="Q12" t="s">
        <v>224</v>
      </c>
      <c r="R12" t="s">
        <v>225</v>
      </c>
      <c r="S12" t="s">
        <v>225</v>
      </c>
      <c r="T12" t="s">
        <v>52</v>
      </c>
      <c r="U12" t="s">
        <v>52</v>
      </c>
      <c r="V12" t="s">
        <v>52</v>
      </c>
      <c r="W12" t="s">
        <v>226</v>
      </c>
      <c r="X12" t="s">
        <v>227</v>
      </c>
      <c r="Y12" t="s">
        <v>226</v>
      </c>
      <c r="Z12">
        <v>0.28000000000000003</v>
      </c>
      <c r="AA12">
        <v>0.28000000000000003</v>
      </c>
      <c r="AB12" t="s">
        <v>52</v>
      </c>
      <c r="AC12" t="s">
        <v>52</v>
      </c>
      <c r="AD12" t="s">
        <v>52</v>
      </c>
      <c r="AE12" t="s">
        <v>228</v>
      </c>
      <c r="AF12" t="s">
        <v>229</v>
      </c>
      <c r="AG12" t="s">
        <v>230</v>
      </c>
      <c r="AH12" t="s">
        <v>231</v>
      </c>
      <c r="AI12" t="s">
        <v>231</v>
      </c>
      <c r="AJ12" t="s">
        <v>52</v>
      </c>
      <c r="AK12" t="s">
        <v>52</v>
      </c>
      <c r="AL12" t="s">
        <v>52</v>
      </c>
      <c r="AM12" t="s">
        <v>117</v>
      </c>
    </row>
    <row r="13" spans="1:39" x14ac:dyDescent="0.35">
      <c r="A13" t="s">
        <v>39</v>
      </c>
      <c r="B13" t="s">
        <v>232</v>
      </c>
      <c r="C13">
        <v>340734</v>
      </c>
      <c r="D13" t="s">
        <v>72</v>
      </c>
      <c r="E13" t="s">
        <v>233</v>
      </c>
      <c r="F13" t="s">
        <v>221</v>
      </c>
      <c r="G13" t="s">
        <v>75</v>
      </c>
      <c r="H13" t="s">
        <v>45</v>
      </c>
      <c r="I13" t="s">
        <v>108</v>
      </c>
      <c r="J13" t="s">
        <v>78</v>
      </c>
      <c r="K13" t="s">
        <v>79</v>
      </c>
      <c r="L13" t="s">
        <v>117</v>
      </c>
      <c r="M13" t="s">
        <v>81</v>
      </c>
      <c r="N13" t="s">
        <v>82</v>
      </c>
      <c r="O13" t="s">
        <v>234</v>
      </c>
      <c r="P13" t="s">
        <v>223</v>
      </c>
      <c r="Q13" t="s">
        <v>224</v>
      </c>
      <c r="R13" t="s">
        <v>52</v>
      </c>
      <c r="S13" t="s">
        <v>235</v>
      </c>
      <c r="T13" t="s">
        <v>52</v>
      </c>
      <c r="U13" t="s">
        <v>52</v>
      </c>
      <c r="V13" t="s">
        <v>52</v>
      </c>
      <c r="W13" t="s">
        <v>236</v>
      </c>
      <c r="X13" t="s">
        <v>237</v>
      </c>
      <c r="Y13" t="s">
        <v>238</v>
      </c>
      <c r="Z13">
        <v>0</v>
      </c>
      <c r="AA13">
        <v>0.25</v>
      </c>
      <c r="AB13" t="s">
        <v>52</v>
      </c>
      <c r="AC13" t="s">
        <v>52</v>
      </c>
      <c r="AD13" t="s">
        <v>52</v>
      </c>
      <c r="AE13" t="s">
        <v>239</v>
      </c>
      <c r="AF13" t="s">
        <v>240</v>
      </c>
      <c r="AG13" t="s">
        <v>241</v>
      </c>
      <c r="AH13" t="s">
        <v>52</v>
      </c>
      <c r="AI13" t="s">
        <v>242</v>
      </c>
      <c r="AJ13" t="s">
        <v>52</v>
      </c>
      <c r="AK13" t="s">
        <v>52</v>
      </c>
      <c r="AL13" t="s">
        <v>52</v>
      </c>
      <c r="AM13" t="s">
        <v>117</v>
      </c>
    </row>
    <row r="14" spans="1:39" x14ac:dyDescent="0.35">
      <c r="A14" t="s">
        <v>39</v>
      </c>
      <c r="B14" t="s">
        <v>243</v>
      </c>
      <c r="C14">
        <v>349508</v>
      </c>
      <c r="D14" t="s">
        <v>72</v>
      </c>
      <c r="E14" t="s">
        <v>244</v>
      </c>
      <c r="F14" t="s">
        <v>245</v>
      </c>
      <c r="G14" t="s">
        <v>75</v>
      </c>
      <c r="H14" t="s">
        <v>45</v>
      </c>
      <c r="I14" t="s">
        <v>108</v>
      </c>
      <c r="J14" t="s">
        <v>78</v>
      </c>
      <c r="K14" t="s">
        <v>79</v>
      </c>
      <c r="L14" t="s">
        <v>109</v>
      </c>
      <c r="M14" t="s">
        <v>81</v>
      </c>
      <c r="N14" t="s">
        <v>82</v>
      </c>
      <c r="O14" t="s">
        <v>246</v>
      </c>
      <c r="P14" t="s">
        <v>52</v>
      </c>
      <c r="Q14" t="s">
        <v>52</v>
      </c>
      <c r="R14" t="s">
        <v>52</v>
      </c>
      <c r="S14" t="s">
        <v>52</v>
      </c>
      <c r="T14" t="s">
        <v>52</v>
      </c>
      <c r="U14" t="s">
        <v>52</v>
      </c>
      <c r="V14" t="s">
        <v>52</v>
      </c>
      <c r="W14" t="s">
        <v>247</v>
      </c>
      <c r="X14" t="s">
        <v>52</v>
      </c>
      <c r="Y14" t="s">
        <v>52</v>
      </c>
      <c r="Z14">
        <v>0</v>
      </c>
      <c r="AA14">
        <v>0</v>
      </c>
      <c r="AB14" t="s">
        <v>52</v>
      </c>
      <c r="AC14" t="s">
        <v>52</v>
      </c>
      <c r="AD14" t="s">
        <v>52</v>
      </c>
      <c r="AE14" t="s">
        <v>248</v>
      </c>
      <c r="AF14" t="s">
        <v>52</v>
      </c>
      <c r="AG14" t="s">
        <v>52</v>
      </c>
      <c r="AH14" t="s">
        <v>52</v>
      </c>
      <c r="AI14" t="s">
        <v>52</v>
      </c>
      <c r="AJ14" t="s">
        <v>52</v>
      </c>
      <c r="AK14" t="s">
        <v>52</v>
      </c>
      <c r="AL14" t="s">
        <v>52</v>
      </c>
      <c r="AM14" t="s">
        <v>113</v>
      </c>
    </row>
    <row r="15" spans="1:39" x14ac:dyDescent="0.35">
      <c r="A15" t="s">
        <v>39</v>
      </c>
      <c r="B15" t="s">
        <v>249</v>
      </c>
      <c r="C15">
        <v>349428</v>
      </c>
      <c r="D15" t="s">
        <v>72</v>
      </c>
      <c r="E15" t="s">
        <v>250</v>
      </c>
      <c r="F15" t="s">
        <v>74</v>
      </c>
      <c r="G15" t="s">
        <v>75</v>
      </c>
      <c r="H15" t="s">
        <v>45</v>
      </c>
      <c r="I15" t="s">
        <v>108</v>
      </c>
      <c r="J15" t="s">
        <v>78</v>
      </c>
      <c r="K15" t="s">
        <v>79</v>
      </c>
      <c r="L15" t="s">
        <v>109</v>
      </c>
      <c r="M15" t="s">
        <v>81</v>
      </c>
      <c r="N15" t="s">
        <v>82</v>
      </c>
      <c r="O15" t="s">
        <v>251</v>
      </c>
      <c r="P15" t="s">
        <v>52</v>
      </c>
      <c r="Q15" t="s">
        <v>52</v>
      </c>
      <c r="R15" t="s">
        <v>52</v>
      </c>
      <c r="S15" t="s">
        <v>52</v>
      </c>
      <c r="T15" t="s">
        <v>52</v>
      </c>
      <c r="U15" t="s">
        <v>52</v>
      </c>
      <c r="V15" t="s">
        <v>52</v>
      </c>
      <c r="W15" t="s">
        <v>252</v>
      </c>
      <c r="X15" t="s">
        <v>52</v>
      </c>
      <c r="Y15" t="s">
        <v>52</v>
      </c>
      <c r="Z15">
        <v>0</v>
      </c>
      <c r="AA15">
        <v>0</v>
      </c>
      <c r="AB15" t="s">
        <v>52</v>
      </c>
      <c r="AC15" t="s">
        <v>52</v>
      </c>
      <c r="AD15" t="s">
        <v>52</v>
      </c>
      <c r="AE15" t="s">
        <v>253</v>
      </c>
      <c r="AF15" t="s">
        <v>52</v>
      </c>
      <c r="AG15" t="s">
        <v>52</v>
      </c>
      <c r="AH15" t="s">
        <v>52</v>
      </c>
      <c r="AI15" t="s">
        <v>52</v>
      </c>
      <c r="AJ15" t="s">
        <v>52</v>
      </c>
      <c r="AK15" t="s">
        <v>52</v>
      </c>
      <c r="AL15" t="s">
        <v>52</v>
      </c>
      <c r="AM15" t="s">
        <v>113</v>
      </c>
    </row>
    <row r="16" spans="1:39" x14ac:dyDescent="0.35">
      <c r="A16" t="s">
        <v>39</v>
      </c>
      <c r="B16" t="s">
        <v>254</v>
      </c>
      <c r="C16">
        <v>349432</v>
      </c>
      <c r="D16" t="s">
        <v>72</v>
      </c>
      <c r="E16" t="s">
        <v>255</v>
      </c>
      <c r="F16" t="s">
        <v>256</v>
      </c>
      <c r="G16" t="s">
        <v>75</v>
      </c>
      <c r="H16" t="s">
        <v>45</v>
      </c>
      <c r="I16" t="s">
        <v>108</v>
      </c>
      <c r="J16" t="s">
        <v>78</v>
      </c>
      <c r="K16" t="s">
        <v>79</v>
      </c>
      <c r="L16" t="s">
        <v>109</v>
      </c>
      <c r="M16" t="s">
        <v>81</v>
      </c>
      <c r="N16" t="s">
        <v>82</v>
      </c>
      <c r="O16" t="s">
        <v>257</v>
      </c>
      <c r="P16" t="s">
        <v>52</v>
      </c>
      <c r="Q16" t="s">
        <v>52</v>
      </c>
      <c r="R16" t="s">
        <v>52</v>
      </c>
      <c r="S16" t="s">
        <v>52</v>
      </c>
      <c r="T16" t="s">
        <v>52</v>
      </c>
      <c r="U16" t="s">
        <v>52</v>
      </c>
      <c r="V16" t="s">
        <v>52</v>
      </c>
      <c r="W16" t="s">
        <v>258</v>
      </c>
      <c r="X16" t="s">
        <v>52</v>
      </c>
      <c r="Y16" t="s">
        <v>52</v>
      </c>
      <c r="Z16">
        <v>0</v>
      </c>
      <c r="AA16">
        <v>0</v>
      </c>
      <c r="AB16" t="s">
        <v>52</v>
      </c>
      <c r="AC16" t="s">
        <v>52</v>
      </c>
      <c r="AD16" t="s">
        <v>52</v>
      </c>
      <c r="AE16" t="s">
        <v>259</v>
      </c>
      <c r="AF16" t="s">
        <v>52</v>
      </c>
      <c r="AG16" t="s">
        <v>52</v>
      </c>
      <c r="AH16" t="s">
        <v>52</v>
      </c>
      <c r="AI16" t="s">
        <v>52</v>
      </c>
      <c r="AJ16" t="s">
        <v>52</v>
      </c>
      <c r="AK16" t="s">
        <v>52</v>
      </c>
      <c r="AL16" t="s">
        <v>52</v>
      </c>
      <c r="AM16" t="s">
        <v>113</v>
      </c>
    </row>
    <row r="17" spans="1:39" x14ac:dyDescent="0.35">
      <c r="A17" t="s">
        <v>39</v>
      </c>
      <c r="B17" t="s">
        <v>260</v>
      </c>
      <c r="D17" t="s">
        <v>41</v>
      </c>
      <c r="E17" t="s">
        <v>261</v>
      </c>
      <c r="F17" t="s">
        <v>262</v>
      </c>
      <c r="G17" t="s">
        <v>44</v>
      </c>
      <c r="H17" t="s">
        <v>45</v>
      </c>
      <c r="I17" t="s">
        <v>188</v>
      </c>
      <c r="J17" t="s">
        <v>78</v>
      </c>
      <c r="K17" t="s">
        <v>79</v>
      </c>
      <c r="L17" t="s">
        <v>263</v>
      </c>
      <c r="M17" t="s">
        <v>81</v>
      </c>
      <c r="N17" t="s">
        <v>51</v>
      </c>
      <c r="O17" t="s">
        <v>52</v>
      </c>
      <c r="P17" t="s">
        <v>52</v>
      </c>
      <c r="Q17" t="s">
        <v>52</v>
      </c>
      <c r="R17" t="s">
        <v>264</v>
      </c>
      <c r="S17" t="s">
        <v>264</v>
      </c>
      <c r="T17" t="s">
        <v>52</v>
      </c>
      <c r="U17" t="s">
        <v>52</v>
      </c>
      <c r="V17" t="s">
        <v>178</v>
      </c>
      <c r="W17" t="s">
        <v>52</v>
      </c>
      <c r="X17" t="s">
        <v>52</v>
      </c>
      <c r="Y17" t="s">
        <v>52</v>
      </c>
      <c r="Z17">
        <v>8.86</v>
      </c>
      <c r="AA17">
        <v>8.86</v>
      </c>
      <c r="AB17" t="s">
        <v>52</v>
      </c>
      <c r="AC17" t="s">
        <v>52</v>
      </c>
      <c r="AD17" t="s">
        <v>265</v>
      </c>
      <c r="AE17" t="s">
        <v>52</v>
      </c>
      <c r="AF17" t="s">
        <v>52</v>
      </c>
      <c r="AG17" t="s">
        <v>52</v>
      </c>
      <c r="AH17" t="s">
        <v>266</v>
      </c>
      <c r="AI17" t="s">
        <v>266</v>
      </c>
      <c r="AJ17" t="s">
        <v>52</v>
      </c>
      <c r="AK17" t="s">
        <v>52</v>
      </c>
      <c r="AL17" t="s">
        <v>267</v>
      </c>
      <c r="AM17" t="s">
        <v>263</v>
      </c>
    </row>
    <row r="18" spans="1:39" x14ac:dyDescent="0.35">
      <c r="A18" t="s">
        <v>39</v>
      </c>
      <c r="B18" t="s">
        <v>268</v>
      </c>
      <c r="C18">
        <v>349506</v>
      </c>
      <c r="D18" t="s">
        <v>72</v>
      </c>
      <c r="E18" t="s">
        <v>269</v>
      </c>
      <c r="F18" t="s">
        <v>215</v>
      </c>
      <c r="G18" t="s">
        <v>75</v>
      </c>
      <c r="H18" t="s">
        <v>45</v>
      </c>
      <c r="I18" t="s">
        <v>108</v>
      </c>
      <c r="J18" t="s">
        <v>78</v>
      </c>
      <c r="K18" t="s">
        <v>79</v>
      </c>
      <c r="L18" t="s">
        <v>109</v>
      </c>
      <c r="M18" t="s">
        <v>81</v>
      </c>
      <c r="N18" t="s">
        <v>82</v>
      </c>
      <c r="O18" t="s">
        <v>270</v>
      </c>
      <c r="P18" t="s">
        <v>52</v>
      </c>
      <c r="Q18" t="s">
        <v>52</v>
      </c>
      <c r="R18" t="s">
        <v>52</v>
      </c>
      <c r="S18" t="s">
        <v>52</v>
      </c>
      <c r="T18" t="s">
        <v>52</v>
      </c>
      <c r="U18" t="s">
        <v>52</v>
      </c>
      <c r="V18" t="s">
        <v>52</v>
      </c>
      <c r="W18" t="s">
        <v>271</v>
      </c>
      <c r="X18" t="s">
        <v>52</v>
      </c>
      <c r="Y18" t="s">
        <v>52</v>
      </c>
      <c r="Z18">
        <v>0</v>
      </c>
      <c r="AA18">
        <v>0</v>
      </c>
      <c r="AB18" t="s">
        <v>52</v>
      </c>
      <c r="AC18" t="s">
        <v>52</v>
      </c>
      <c r="AD18" t="s">
        <v>52</v>
      </c>
      <c r="AE18" t="s">
        <v>272</v>
      </c>
      <c r="AF18" t="s">
        <v>52</v>
      </c>
      <c r="AG18" t="s">
        <v>52</v>
      </c>
      <c r="AH18" t="s">
        <v>52</v>
      </c>
      <c r="AI18" t="s">
        <v>52</v>
      </c>
      <c r="AJ18" t="s">
        <v>52</v>
      </c>
      <c r="AK18" t="s">
        <v>52</v>
      </c>
      <c r="AL18" t="s">
        <v>52</v>
      </c>
      <c r="AM18" t="s">
        <v>113</v>
      </c>
    </row>
    <row r="19" spans="1:39" x14ac:dyDescent="0.35">
      <c r="A19" t="s">
        <v>39</v>
      </c>
      <c r="B19" t="s">
        <v>273</v>
      </c>
      <c r="C19">
        <v>349440</v>
      </c>
      <c r="D19" t="s">
        <v>72</v>
      </c>
      <c r="E19" t="s">
        <v>274</v>
      </c>
      <c r="F19" t="s">
        <v>74</v>
      </c>
      <c r="G19" t="s">
        <v>75</v>
      </c>
      <c r="H19" t="s">
        <v>45</v>
      </c>
      <c r="I19" t="s">
        <v>108</v>
      </c>
      <c r="J19" t="s">
        <v>47</v>
      </c>
      <c r="K19" t="s">
        <v>79</v>
      </c>
      <c r="L19" t="s">
        <v>109</v>
      </c>
      <c r="M19" t="s">
        <v>275</v>
      </c>
      <c r="N19" t="s">
        <v>82</v>
      </c>
      <c r="O19" t="s">
        <v>276</v>
      </c>
      <c r="P19" t="s">
        <v>52</v>
      </c>
      <c r="Q19" t="s">
        <v>52</v>
      </c>
      <c r="R19" t="s">
        <v>52</v>
      </c>
      <c r="S19" t="s">
        <v>52</v>
      </c>
      <c r="T19" t="s">
        <v>52</v>
      </c>
      <c r="U19" t="s">
        <v>52</v>
      </c>
      <c r="V19" t="s">
        <v>52</v>
      </c>
      <c r="W19" t="s">
        <v>277</v>
      </c>
      <c r="X19" t="s">
        <v>52</v>
      </c>
      <c r="Y19" t="s">
        <v>52</v>
      </c>
      <c r="Z19">
        <v>0</v>
      </c>
      <c r="AA19">
        <v>0</v>
      </c>
      <c r="AB19" t="s">
        <v>52</v>
      </c>
      <c r="AC19" t="s">
        <v>52</v>
      </c>
      <c r="AD19" t="s">
        <v>52</v>
      </c>
      <c r="AE19" t="s">
        <v>278</v>
      </c>
      <c r="AF19" t="s">
        <v>52</v>
      </c>
      <c r="AG19" t="s">
        <v>52</v>
      </c>
      <c r="AH19" t="s">
        <v>52</v>
      </c>
      <c r="AI19" t="s">
        <v>52</v>
      </c>
      <c r="AJ19" t="s">
        <v>52</v>
      </c>
      <c r="AK19" t="s">
        <v>52</v>
      </c>
      <c r="AL19" t="s">
        <v>52</v>
      </c>
      <c r="AM19" t="s">
        <v>113</v>
      </c>
    </row>
    <row r="20" spans="1:39" x14ac:dyDescent="0.35">
      <c r="A20" t="s">
        <v>39</v>
      </c>
      <c r="B20" t="s">
        <v>279</v>
      </c>
      <c r="C20">
        <v>355362</v>
      </c>
      <c r="D20" t="s">
        <v>72</v>
      </c>
      <c r="E20" t="s">
        <v>280</v>
      </c>
      <c r="F20" t="s">
        <v>281</v>
      </c>
      <c r="G20" t="s">
        <v>282</v>
      </c>
      <c r="H20" t="s">
        <v>45</v>
      </c>
      <c r="I20" t="s">
        <v>283</v>
      </c>
      <c r="J20" t="s">
        <v>78</v>
      </c>
      <c r="K20" t="s">
        <v>79</v>
      </c>
      <c r="L20" t="s">
        <v>284</v>
      </c>
      <c r="M20" t="s">
        <v>81</v>
      </c>
      <c r="N20" t="s">
        <v>82</v>
      </c>
      <c r="O20" t="s">
        <v>285</v>
      </c>
      <c r="P20" t="s">
        <v>286</v>
      </c>
      <c r="Q20" t="s">
        <v>287</v>
      </c>
      <c r="R20" t="s">
        <v>288</v>
      </c>
      <c r="S20" t="s">
        <v>288</v>
      </c>
      <c r="T20" t="s">
        <v>289</v>
      </c>
      <c r="U20" t="s">
        <v>290</v>
      </c>
      <c r="V20" t="s">
        <v>291</v>
      </c>
      <c r="W20" t="s">
        <v>292</v>
      </c>
      <c r="X20" t="s">
        <v>293</v>
      </c>
      <c r="Y20" t="s">
        <v>294</v>
      </c>
      <c r="Z20">
        <v>25.15</v>
      </c>
      <c r="AA20">
        <v>25.15</v>
      </c>
      <c r="AB20" t="s">
        <v>295</v>
      </c>
      <c r="AC20" t="s">
        <v>296</v>
      </c>
      <c r="AD20" t="s">
        <v>297</v>
      </c>
      <c r="AE20" t="s">
        <v>298</v>
      </c>
      <c r="AF20" t="s">
        <v>299</v>
      </c>
      <c r="AG20" t="s">
        <v>300</v>
      </c>
      <c r="AH20" t="s">
        <v>301</v>
      </c>
      <c r="AI20" t="s">
        <v>301</v>
      </c>
      <c r="AJ20" t="s">
        <v>302</v>
      </c>
      <c r="AK20" t="s">
        <v>303</v>
      </c>
      <c r="AL20" t="s">
        <v>304</v>
      </c>
      <c r="AM20" t="s">
        <v>284</v>
      </c>
    </row>
    <row r="21" spans="1:39" x14ac:dyDescent="0.35">
      <c r="A21" t="s">
        <v>39</v>
      </c>
      <c r="B21" t="s">
        <v>305</v>
      </c>
      <c r="C21">
        <v>332712</v>
      </c>
      <c r="D21" t="s">
        <v>72</v>
      </c>
      <c r="E21" t="s">
        <v>306</v>
      </c>
      <c r="F21" t="s">
        <v>281</v>
      </c>
      <c r="G21" t="s">
        <v>282</v>
      </c>
      <c r="H21" t="s">
        <v>45</v>
      </c>
      <c r="I21" t="s">
        <v>108</v>
      </c>
      <c r="J21" t="s">
        <v>78</v>
      </c>
      <c r="K21" t="s">
        <v>79</v>
      </c>
      <c r="L21" t="s">
        <v>117</v>
      </c>
      <c r="M21" t="s">
        <v>81</v>
      </c>
      <c r="N21" t="s">
        <v>82</v>
      </c>
      <c r="O21" t="s">
        <v>307</v>
      </c>
      <c r="P21" t="s">
        <v>308</v>
      </c>
      <c r="Q21" t="s">
        <v>308</v>
      </c>
      <c r="R21" t="s">
        <v>309</v>
      </c>
      <c r="S21" t="s">
        <v>309</v>
      </c>
      <c r="T21" t="s">
        <v>308</v>
      </c>
      <c r="U21" t="s">
        <v>308</v>
      </c>
      <c r="V21" t="s">
        <v>308</v>
      </c>
      <c r="W21" t="s">
        <v>310</v>
      </c>
      <c r="X21" t="s">
        <v>311</v>
      </c>
      <c r="Y21" t="s">
        <v>311</v>
      </c>
      <c r="Z21">
        <v>0.89</v>
      </c>
      <c r="AA21">
        <v>0.89</v>
      </c>
      <c r="AB21" t="s">
        <v>311</v>
      </c>
      <c r="AC21" t="s">
        <v>311</v>
      </c>
      <c r="AD21" t="s">
        <v>311</v>
      </c>
      <c r="AE21" t="s">
        <v>312</v>
      </c>
      <c r="AF21" t="s">
        <v>313</v>
      </c>
      <c r="AG21" t="s">
        <v>313</v>
      </c>
      <c r="AH21" t="s">
        <v>314</v>
      </c>
      <c r="AI21" t="s">
        <v>314</v>
      </c>
      <c r="AJ21" t="s">
        <v>313</v>
      </c>
      <c r="AK21" t="s">
        <v>313</v>
      </c>
      <c r="AL21" t="s">
        <v>313</v>
      </c>
      <c r="AM21" t="s">
        <v>117</v>
      </c>
    </row>
    <row r="22" spans="1:39" x14ac:dyDescent="0.35">
      <c r="A22" t="s">
        <v>39</v>
      </c>
      <c r="B22" t="s">
        <v>315</v>
      </c>
      <c r="C22">
        <v>332713</v>
      </c>
      <c r="D22" t="s">
        <v>72</v>
      </c>
      <c r="E22" t="s">
        <v>316</v>
      </c>
      <c r="F22" t="s">
        <v>281</v>
      </c>
      <c r="G22" t="s">
        <v>282</v>
      </c>
      <c r="H22" t="s">
        <v>45</v>
      </c>
      <c r="I22" t="s">
        <v>108</v>
      </c>
      <c r="J22" t="s">
        <v>78</v>
      </c>
      <c r="K22" t="s">
        <v>79</v>
      </c>
      <c r="L22" t="s">
        <v>117</v>
      </c>
      <c r="M22" t="s">
        <v>81</v>
      </c>
      <c r="N22" t="s">
        <v>82</v>
      </c>
      <c r="O22" t="s">
        <v>317</v>
      </c>
      <c r="P22" t="s">
        <v>318</v>
      </c>
      <c r="Q22" t="s">
        <v>319</v>
      </c>
      <c r="R22" t="s">
        <v>320</v>
      </c>
      <c r="S22" t="s">
        <v>320</v>
      </c>
      <c r="T22" t="s">
        <v>321</v>
      </c>
      <c r="U22" t="s">
        <v>321</v>
      </c>
      <c r="V22" t="s">
        <v>321</v>
      </c>
      <c r="W22" t="s">
        <v>322</v>
      </c>
      <c r="X22" t="s">
        <v>323</v>
      </c>
      <c r="Y22" t="s">
        <v>324</v>
      </c>
      <c r="Z22">
        <v>2</v>
      </c>
      <c r="AA22">
        <v>2</v>
      </c>
      <c r="AB22" t="s">
        <v>325</v>
      </c>
      <c r="AC22" t="s">
        <v>325</v>
      </c>
      <c r="AD22" t="s">
        <v>325</v>
      </c>
      <c r="AE22" t="s">
        <v>326</v>
      </c>
      <c r="AF22" t="s">
        <v>327</v>
      </c>
      <c r="AG22" t="s">
        <v>328</v>
      </c>
      <c r="AH22" t="s">
        <v>329</v>
      </c>
      <c r="AI22" t="s">
        <v>329</v>
      </c>
      <c r="AJ22" t="s">
        <v>330</v>
      </c>
      <c r="AK22" t="s">
        <v>330</v>
      </c>
      <c r="AL22" t="s">
        <v>330</v>
      </c>
      <c r="AM22" t="s">
        <v>117</v>
      </c>
    </row>
    <row r="23" spans="1:39" x14ac:dyDescent="0.35">
      <c r="A23" t="s">
        <v>39</v>
      </c>
      <c r="B23" t="s">
        <v>331</v>
      </c>
      <c r="C23">
        <v>346433</v>
      </c>
      <c r="D23" t="s">
        <v>72</v>
      </c>
      <c r="E23" t="s">
        <v>332</v>
      </c>
      <c r="F23" t="s">
        <v>281</v>
      </c>
      <c r="G23" t="s">
        <v>282</v>
      </c>
      <c r="H23" t="s">
        <v>45</v>
      </c>
      <c r="I23" t="s">
        <v>108</v>
      </c>
      <c r="J23" t="s">
        <v>78</v>
      </c>
      <c r="K23" t="s">
        <v>79</v>
      </c>
      <c r="L23" t="s">
        <v>117</v>
      </c>
      <c r="M23" t="s">
        <v>81</v>
      </c>
      <c r="N23" t="s">
        <v>82</v>
      </c>
      <c r="O23" t="s">
        <v>333</v>
      </c>
      <c r="P23" t="s">
        <v>334</v>
      </c>
      <c r="Q23" t="s">
        <v>335</v>
      </c>
      <c r="R23" t="s">
        <v>335</v>
      </c>
      <c r="S23" t="s">
        <v>335</v>
      </c>
      <c r="T23" t="s">
        <v>334</v>
      </c>
      <c r="U23" t="s">
        <v>334</v>
      </c>
      <c r="V23" t="s">
        <v>335</v>
      </c>
      <c r="W23" t="s">
        <v>336</v>
      </c>
      <c r="X23" t="s">
        <v>271</v>
      </c>
      <c r="Y23" t="s">
        <v>337</v>
      </c>
      <c r="Z23">
        <v>0.38</v>
      </c>
      <c r="AA23">
        <v>0.38</v>
      </c>
      <c r="AB23" t="s">
        <v>271</v>
      </c>
      <c r="AC23" t="s">
        <v>271</v>
      </c>
      <c r="AD23" t="s">
        <v>337</v>
      </c>
      <c r="AE23" t="s">
        <v>338</v>
      </c>
      <c r="AF23" t="s">
        <v>339</v>
      </c>
      <c r="AG23" t="s">
        <v>340</v>
      </c>
      <c r="AH23" t="s">
        <v>340</v>
      </c>
      <c r="AI23" t="s">
        <v>340</v>
      </c>
      <c r="AJ23" t="s">
        <v>339</v>
      </c>
      <c r="AK23" t="s">
        <v>339</v>
      </c>
      <c r="AL23" t="s">
        <v>340</v>
      </c>
      <c r="AM23" t="s">
        <v>117</v>
      </c>
    </row>
    <row r="24" spans="1:39" x14ac:dyDescent="0.35">
      <c r="A24" t="s">
        <v>39</v>
      </c>
      <c r="B24" t="s">
        <v>341</v>
      </c>
      <c r="C24">
        <v>346434</v>
      </c>
      <c r="D24" t="s">
        <v>72</v>
      </c>
      <c r="E24" t="s">
        <v>342</v>
      </c>
      <c r="F24" t="s">
        <v>281</v>
      </c>
      <c r="G24" t="s">
        <v>282</v>
      </c>
      <c r="H24" t="s">
        <v>45</v>
      </c>
      <c r="I24" t="s">
        <v>108</v>
      </c>
      <c r="J24" t="s">
        <v>78</v>
      </c>
      <c r="K24" t="s">
        <v>79</v>
      </c>
      <c r="L24" t="s">
        <v>117</v>
      </c>
      <c r="M24" t="s">
        <v>81</v>
      </c>
      <c r="N24" t="s">
        <v>82</v>
      </c>
      <c r="O24" t="s">
        <v>343</v>
      </c>
      <c r="P24" t="s">
        <v>344</v>
      </c>
      <c r="Q24" t="s">
        <v>345</v>
      </c>
      <c r="R24" t="s">
        <v>346</v>
      </c>
      <c r="S24" t="s">
        <v>346</v>
      </c>
      <c r="T24" t="s">
        <v>224</v>
      </c>
      <c r="U24" t="s">
        <v>224</v>
      </c>
      <c r="V24" t="s">
        <v>224</v>
      </c>
      <c r="W24" t="s">
        <v>347</v>
      </c>
      <c r="X24" t="s">
        <v>348</v>
      </c>
      <c r="Y24" t="s">
        <v>349</v>
      </c>
      <c r="Z24">
        <v>1.82</v>
      </c>
      <c r="AA24">
        <v>1.82</v>
      </c>
      <c r="AB24" t="s">
        <v>350</v>
      </c>
      <c r="AC24" t="s">
        <v>350</v>
      </c>
      <c r="AD24" t="s">
        <v>350</v>
      </c>
      <c r="AE24" t="s">
        <v>351</v>
      </c>
      <c r="AF24" t="s">
        <v>352</v>
      </c>
      <c r="AG24" t="s">
        <v>353</v>
      </c>
      <c r="AH24" t="s">
        <v>354</v>
      </c>
      <c r="AI24" t="s">
        <v>354</v>
      </c>
      <c r="AJ24" t="s">
        <v>355</v>
      </c>
      <c r="AK24" t="s">
        <v>355</v>
      </c>
      <c r="AL24" t="s">
        <v>355</v>
      </c>
      <c r="AM24" t="s">
        <v>117</v>
      </c>
    </row>
    <row r="25" spans="1:39" x14ac:dyDescent="0.35">
      <c r="A25" t="s">
        <v>39</v>
      </c>
      <c r="B25" t="s">
        <v>356</v>
      </c>
      <c r="C25">
        <v>328595</v>
      </c>
      <c r="D25" t="s">
        <v>72</v>
      </c>
      <c r="E25" t="s">
        <v>357</v>
      </c>
      <c r="F25" t="s">
        <v>358</v>
      </c>
      <c r="G25" t="s">
        <v>44</v>
      </c>
      <c r="H25" t="s">
        <v>45</v>
      </c>
      <c r="I25" t="s">
        <v>108</v>
      </c>
      <c r="J25" t="s">
        <v>47</v>
      </c>
      <c r="K25" t="s">
        <v>79</v>
      </c>
      <c r="L25" t="s">
        <v>359</v>
      </c>
      <c r="M25" t="s">
        <v>360</v>
      </c>
      <c r="N25" t="s">
        <v>51</v>
      </c>
      <c r="O25" t="s">
        <v>52</v>
      </c>
      <c r="P25" t="s">
        <v>52</v>
      </c>
      <c r="Q25" t="s">
        <v>52</v>
      </c>
      <c r="R25" t="s">
        <v>52</v>
      </c>
      <c r="S25" t="s">
        <v>52</v>
      </c>
      <c r="T25" t="s">
        <v>52</v>
      </c>
      <c r="U25" t="s">
        <v>52</v>
      </c>
      <c r="V25" t="s">
        <v>52</v>
      </c>
      <c r="W25" t="s">
        <v>52</v>
      </c>
      <c r="X25" t="s">
        <v>52</v>
      </c>
      <c r="Y25" t="s">
        <v>52</v>
      </c>
      <c r="Z25">
        <v>0</v>
      </c>
      <c r="AA25">
        <v>0</v>
      </c>
      <c r="AB25" t="s">
        <v>52</v>
      </c>
      <c r="AC25" t="s">
        <v>52</v>
      </c>
      <c r="AD25" t="s">
        <v>52</v>
      </c>
      <c r="AE25" t="s">
        <v>52</v>
      </c>
      <c r="AF25" t="s">
        <v>52</v>
      </c>
      <c r="AG25" t="s">
        <v>52</v>
      </c>
      <c r="AH25" t="s">
        <v>52</v>
      </c>
      <c r="AI25" t="s">
        <v>52</v>
      </c>
      <c r="AJ25" t="s">
        <v>52</v>
      </c>
      <c r="AK25" t="s">
        <v>52</v>
      </c>
      <c r="AL25" t="s">
        <v>52</v>
      </c>
      <c r="AM25" t="s">
        <v>361</v>
      </c>
    </row>
    <row r="26" spans="1:39" x14ac:dyDescent="0.35">
      <c r="A26" t="s">
        <v>39</v>
      </c>
      <c r="B26" t="s">
        <v>362</v>
      </c>
      <c r="C26">
        <v>328597</v>
      </c>
      <c r="D26" t="s">
        <v>72</v>
      </c>
      <c r="E26" t="s">
        <v>363</v>
      </c>
      <c r="F26" t="s">
        <v>358</v>
      </c>
      <c r="G26" t="s">
        <v>44</v>
      </c>
      <c r="H26" t="s">
        <v>45</v>
      </c>
      <c r="I26" t="s">
        <v>108</v>
      </c>
      <c r="J26" t="s">
        <v>47</v>
      </c>
      <c r="K26" t="s">
        <v>79</v>
      </c>
      <c r="L26" t="s">
        <v>359</v>
      </c>
      <c r="M26" t="s">
        <v>364</v>
      </c>
      <c r="N26" t="s">
        <v>51</v>
      </c>
      <c r="O26" t="s">
        <v>52</v>
      </c>
      <c r="P26" t="s">
        <v>52</v>
      </c>
      <c r="Q26" t="s">
        <v>52</v>
      </c>
      <c r="R26" t="s">
        <v>52</v>
      </c>
      <c r="S26" t="s">
        <v>52</v>
      </c>
      <c r="T26" t="s">
        <v>52</v>
      </c>
      <c r="U26" t="s">
        <v>52</v>
      </c>
      <c r="V26" t="s">
        <v>52</v>
      </c>
      <c r="W26" t="s">
        <v>52</v>
      </c>
      <c r="X26" t="s">
        <v>52</v>
      </c>
      <c r="Y26" t="s">
        <v>52</v>
      </c>
      <c r="Z26">
        <v>0</v>
      </c>
      <c r="AA26">
        <v>0</v>
      </c>
      <c r="AB26" t="s">
        <v>52</v>
      </c>
      <c r="AC26" t="s">
        <v>52</v>
      </c>
      <c r="AD26" t="s">
        <v>52</v>
      </c>
      <c r="AE26" t="s">
        <v>52</v>
      </c>
      <c r="AF26" t="s">
        <v>52</v>
      </c>
      <c r="AG26" t="s">
        <v>52</v>
      </c>
      <c r="AH26" t="s">
        <v>52</v>
      </c>
      <c r="AI26" t="s">
        <v>52</v>
      </c>
      <c r="AJ26" t="s">
        <v>52</v>
      </c>
      <c r="AK26" t="s">
        <v>52</v>
      </c>
      <c r="AL26" t="s">
        <v>52</v>
      </c>
      <c r="AM26" t="s">
        <v>361</v>
      </c>
    </row>
    <row r="27" spans="1:39" x14ac:dyDescent="0.35">
      <c r="A27" t="s">
        <v>39</v>
      </c>
      <c r="B27" t="s">
        <v>365</v>
      </c>
      <c r="C27">
        <v>328805</v>
      </c>
      <c r="D27" t="s">
        <v>72</v>
      </c>
      <c r="E27" t="s">
        <v>366</v>
      </c>
      <c r="F27" t="s">
        <v>358</v>
      </c>
      <c r="G27" t="s">
        <v>44</v>
      </c>
      <c r="H27" t="s">
        <v>45</v>
      </c>
      <c r="I27" t="s">
        <v>108</v>
      </c>
      <c r="J27" t="s">
        <v>47</v>
      </c>
      <c r="K27" t="s">
        <v>79</v>
      </c>
      <c r="L27" t="s">
        <v>359</v>
      </c>
      <c r="M27" t="s">
        <v>367</v>
      </c>
      <c r="N27" t="s">
        <v>51</v>
      </c>
      <c r="O27" t="s">
        <v>52</v>
      </c>
      <c r="P27" t="s">
        <v>52</v>
      </c>
      <c r="Q27" t="s">
        <v>52</v>
      </c>
      <c r="R27" t="s">
        <v>52</v>
      </c>
      <c r="S27" t="s">
        <v>52</v>
      </c>
      <c r="T27" t="s">
        <v>52</v>
      </c>
      <c r="U27" t="s">
        <v>52</v>
      </c>
      <c r="V27" t="s">
        <v>52</v>
      </c>
      <c r="W27" t="s">
        <v>52</v>
      </c>
      <c r="X27" t="s">
        <v>52</v>
      </c>
      <c r="Y27" t="s">
        <v>52</v>
      </c>
      <c r="Z27">
        <v>0</v>
      </c>
      <c r="AA27">
        <v>0</v>
      </c>
      <c r="AB27" t="s">
        <v>52</v>
      </c>
      <c r="AC27" t="s">
        <v>52</v>
      </c>
      <c r="AD27" t="s">
        <v>52</v>
      </c>
      <c r="AE27" t="s">
        <v>52</v>
      </c>
      <c r="AF27" t="s">
        <v>52</v>
      </c>
      <c r="AG27" t="s">
        <v>52</v>
      </c>
      <c r="AH27" t="s">
        <v>52</v>
      </c>
      <c r="AI27" t="s">
        <v>52</v>
      </c>
      <c r="AJ27" t="s">
        <v>52</v>
      </c>
      <c r="AK27" t="s">
        <v>52</v>
      </c>
      <c r="AL27" t="s">
        <v>52</v>
      </c>
      <c r="AM27" t="s">
        <v>361</v>
      </c>
    </row>
    <row r="28" spans="1:39" x14ac:dyDescent="0.35">
      <c r="A28" t="s">
        <v>39</v>
      </c>
      <c r="B28" t="s">
        <v>368</v>
      </c>
      <c r="C28">
        <v>328804</v>
      </c>
      <c r="D28" t="s">
        <v>72</v>
      </c>
      <c r="E28" t="s">
        <v>369</v>
      </c>
      <c r="F28" t="s">
        <v>358</v>
      </c>
      <c r="G28" t="s">
        <v>44</v>
      </c>
      <c r="H28" t="s">
        <v>45</v>
      </c>
      <c r="I28" t="s">
        <v>108</v>
      </c>
      <c r="J28" t="s">
        <v>47</v>
      </c>
      <c r="K28" t="s">
        <v>79</v>
      </c>
      <c r="L28" t="s">
        <v>359</v>
      </c>
      <c r="M28" t="s">
        <v>367</v>
      </c>
      <c r="N28" t="s">
        <v>51</v>
      </c>
      <c r="O28" t="s">
        <v>52</v>
      </c>
      <c r="P28" t="s">
        <v>52</v>
      </c>
      <c r="Q28" t="s">
        <v>52</v>
      </c>
      <c r="R28" t="s">
        <v>52</v>
      </c>
      <c r="S28" t="s">
        <v>52</v>
      </c>
      <c r="T28" t="s">
        <v>52</v>
      </c>
      <c r="U28" t="s">
        <v>52</v>
      </c>
      <c r="V28" t="s">
        <v>52</v>
      </c>
      <c r="W28" t="s">
        <v>52</v>
      </c>
      <c r="X28" t="s">
        <v>52</v>
      </c>
      <c r="Y28" t="s">
        <v>52</v>
      </c>
      <c r="Z28">
        <v>0</v>
      </c>
      <c r="AA28">
        <v>0</v>
      </c>
      <c r="AB28" t="s">
        <v>52</v>
      </c>
      <c r="AC28" t="s">
        <v>52</v>
      </c>
      <c r="AD28" t="s">
        <v>52</v>
      </c>
      <c r="AE28" t="s">
        <v>52</v>
      </c>
      <c r="AF28" t="s">
        <v>52</v>
      </c>
      <c r="AG28" t="s">
        <v>52</v>
      </c>
      <c r="AH28" t="s">
        <v>52</v>
      </c>
      <c r="AI28" t="s">
        <v>52</v>
      </c>
      <c r="AJ28" t="s">
        <v>52</v>
      </c>
      <c r="AK28" t="s">
        <v>52</v>
      </c>
      <c r="AL28" t="s">
        <v>52</v>
      </c>
      <c r="AM28" t="s">
        <v>361</v>
      </c>
    </row>
    <row r="29" spans="1:39" x14ac:dyDescent="0.35">
      <c r="A29" t="s">
        <v>39</v>
      </c>
      <c r="B29" t="s">
        <v>370</v>
      </c>
      <c r="C29">
        <v>328631</v>
      </c>
      <c r="D29" t="s">
        <v>72</v>
      </c>
      <c r="E29" t="s">
        <v>371</v>
      </c>
      <c r="F29" t="s">
        <v>372</v>
      </c>
      <c r="G29" t="s">
        <v>44</v>
      </c>
      <c r="H29" t="s">
        <v>45</v>
      </c>
      <c r="I29" t="s">
        <v>373</v>
      </c>
      <c r="J29" t="s">
        <v>47</v>
      </c>
      <c r="K29" t="s">
        <v>79</v>
      </c>
      <c r="L29" t="s">
        <v>359</v>
      </c>
      <c r="M29" t="s">
        <v>374</v>
      </c>
      <c r="N29" t="s">
        <v>51</v>
      </c>
      <c r="O29" t="s">
        <v>52</v>
      </c>
      <c r="P29" t="s">
        <v>52</v>
      </c>
      <c r="Q29" t="s">
        <v>52</v>
      </c>
      <c r="R29" t="s">
        <v>52</v>
      </c>
      <c r="S29" t="s">
        <v>52</v>
      </c>
      <c r="T29" t="s">
        <v>52</v>
      </c>
      <c r="U29" t="s">
        <v>52</v>
      </c>
      <c r="V29" t="s">
        <v>52</v>
      </c>
      <c r="W29" t="s">
        <v>52</v>
      </c>
      <c r="X29" t="s">
        <v>52</v>
      </c>
      <c r="Y29" t="s">
        <v>52</v>
      </c>
      <c r="Z29">
        <v>0</v>
      </c>
      <c r="AA29">
        <v>0</v>
      </c>
      <c r="AB29" t="s">
        <v>52</v>
      </c>
      <c r="AC29" t="s">
        <v>52</v>
      </c>
      <c r="AD29" t="s">
        <v>52</v>
      </c>
      <c r="AE29" t="s">
        <v>52</v>
      </c>
      <c r="AF29" t="s">
        <v>52</v>
      </c>
      <c r="AG29" t="s">
        <v>52</v>
      </c>
      <c r="AH29" t="s">
        <v>52</v>
      </c>
      <c r="AI29" t="s">
        <v>52</v>
      </c>
      <c r="AJ29" t="s">
        <v>52</v>
      </c>
      <c r="AK29" t="s">
        <v>52</v>
      </c>
      <c r="AL29" t="s">
        <v>52</v>
      </c>
      <c r="AM29" t="s">
        <v>361</v>
      </c>
    </row>
    <row r="30" spans="1:39" x14ac:dyDescent="0.35">
      <c r="A30" t="s">
        <v>39</v>
      </c>
      <c r="B30" t="s">
        <v>375</v>
      </c>
      <c r="C30">
        <v>328599</v>
      </c>
      <c r="D30" t="s">
        <v>72</v>
      </c>
      <c r="E30" t="s">
        <v>376</v>
      </c>
      <c r="F30" t="s">
        <v>372</v>
      </c>
      <c r="G30" t="s">
        <v>44</v>
      </c>
      <c r="H30" t="s">
        <v>45</v>
      </c>
      <c r="I30" t="s">
        <v>377</v>
      </c>
      <c r="J30" t="s">
        <v>47</v>
      </c>
      <c r="K30" t="s">
        <v>79</v>
      </c>
      <c r="L30" t="s">
        <v>359</v>
      </c>
      <c r="M30" t="s">
        <v>374</v>
      </c>
      <c r="N30" t="s">
        <v>51</v>
      </c>
      <c r="O30" t="s">
        <v>52</v>
      </c>
      <c r="P30" t="s">
        <v>52</v>
      </c>
      <c r="Q30" t="s">
        <v>52</v>
      </c>
      <c r="R30" t="s">
        <v>52</v>
      </c>
      <c r="S30" t="s">
        <v>52</v>
      </c>
      <c r="T30" t="s">
        <v>52</v>
      </c>
      <c r="U30" t="s">
        <v>52</v>
      </c>
      <c r="V30" t="s">
        <v>52</v>
      </c>
      <c r="W30" t="s">
        <v>52</v>
      </c>
      <c r="X30" t="s">
        <v>52</v>
      </c>
      <c r="Y30" t="s">
        <v>52</v>
      </c>
      <c r="Z30">
        <v>0</v>
      </c>
      <c r="AA30">
        <v>0</v>
      </c>
      <c r="AB30" t="s">
        <v>52</v>
      </c>
      <c r="AC30" t="s">
        <v>52</v>
      </c>
      <c r="AD30" t="s">
        <v>52</v>
      </c>
      <c r="AE30" t="s">
        <v>52</v>
      </c>
      <c r="AF30" t="s">
        <v>52</v>
      </c>
      <c r="AG30" t="s">
        <v>52</v>
      </c>
      <c r="AH30" t="s">
        <v>52</v>
      </c>
      <c r="AI30" t="s">
        <v>52</v>
      </c>
      <c r="AJ30" t="s">
        <v>52</v>
      </c>
      <c r="AK30" t="s">
        <v>52</v>
      </c>
      <c r="AL30" t="s">
        <v>52</v>
      </c>
      <c r="AM30" t="s">
        <v>361</v>
      </c>
    </row>
    <row r="31" spans="1:39" x14ac:dyDescent="0.35">
      <c r="A31" t="s">
        <v>39</v>
      </c>
      <c r="B31" t="s">
        <v>378</v>
      </c>
      <c r="C31">
        <v>328630</v>
      </c>
      <c r="D31" t="s">
        <v>72</v>
      </c>
      <c r="E31" t="s">
        <v>379</v>
      </c>
      <c r="F31" t="s">
        <v>372</v>
      </c>
      <c r="G31" t="s">
        <v>44</v>
      </c>
      <c r="H31" t="s">
        <v>45</v>
      </c>
      <c r="I31" t="s">
        <v>377</v>
      </c>
      <c r="J31" t="s">
        <v>47</v>
      </c>
      <c r="K31" t="s">
        <v>79</v>
      </c>
      <c r="L31" t="s">
        <v>359</v>
      </c>
      <c r="M31" t="s">
        <v>374</v>
      </c>
      <c r="N31" t="s">
        <v>51</v>
      </c>
      <c r="O31" t="s">
        <v>380</v>
      </c>
      <c r="P31" t="s">
        <v>381</v>
      </c>
      <c r="Q31" t="s">
        <v>382</v>
      </c>
      <c r="R31" t="s">
        <v>383</v>
      </c>
      <c r="S31" t="s">
        <v>384</v>
      </c>
      <c r="T31" t="s">
        <v>385</v>
      </c>
      <c r="U31" t="s">
        <v>381</v>
      </c>
      <c r="V31" t="s">
        <v>381</v>
      </c>
      <c r="W31" t="s">
        <v>386</v>
      </c>
      <c r="X31" t="s">
        <v>252</v>
      </c>
      <c r="Y31" t="s">
        <v>387</v>
      </c>
      <c r="Z31">
        <v>15.99</v>
      </c>
      <c r="AA31">
        <v>14.72</v>
      </c>
      <c r="AB31" t="s">
        <v>388</v>
      </c>
      <c r="AC31" t="s">
        <v>252</v>
      </c>
      <c r="AD31" t="s">
        <v>252</v>
      </c>
      <c r="AE31" t="s">
        <v>389</v>
      </c>
      <c r="AF31" t="s">
        <v>390</v>
      </c>
      <c r="AG31" t="s">
        <v>391</v>
      </c>
      <c r="AH31" t="s">
        <v>392</v>
      </c>
      <c r="AI31" t="s">
        <v>393</v>
      </c>
      <c r="AJ31" t="s">
        <v>394</v>
      </c>
      <c r="AK31" t="s">
        <v>390</v>
      </c>
      <c r="AL31" t="s">
        <v>390</v>
      </c>
      <c r="AM31" t="s">
        <v>361</v>
      </c>
    </row>
    <row r="32" spans="1:39" x14ac:dyDescent="0.35">
      <c r="A32" t="s">
        <v>39</v>
      </c>
      <c r="B32" t="s">
        <v>395</v>
      </c>
      <c r="C32">
        <v>328637</v>
      </c>
      <c r="D32" t="s">
        <v>72</v>
      </c>
      <c r="E32" t="s">
        <v>396</v>
      </c>
      <c r="F32" t="s">
        <v>397</v>
      </c>
      <c r="G32" t="s">
        <v>44</v>
      </c>
      <c r="H32" t="s">
        <v>45</v>
      </c>
      <c r="I32" t="s">
        <v>108</v>
      </c>
      <c r="J32" t="s">
        <v>47</v>
      </c>
      <c r="K32" t="s">
        <v>79</v>
      </c>
      <c r="L32" t="s">
        <v>359</v>
      </c>
      <c r="M32" t="s">
        <v>367</v>
      </c>
      <c r="N32" t="s">
        <v>51</v>
      </c>
      <c r="O32" t="s">
        <v>52</v>
      </c>
      <c r="P32" t="s">
        <v>52</v>
      </c>
      <c r="Q32" t="s">
        <v>52</v>
      </c>
      <c r="R32" t="s">
        <v>52</v>
      </c>
      <c r="S32" t="s">
        <v>52</v>
      </c>
      <c r="T32" t="s">
        <v>52</v>
      </c>
      <c r="U32" t="s">
        <v>52</v>
      </c>
      <c r="V32" t="s">
        <v>52</v>
      </c>
      <c r="W32" t="s">
        <v>52</v>
      </c>
      <c r="X32" t="s">
        <v>52</v>
      </c>
      <c r="Y32" t="s">
        <v>52</v>
      </c>
      <c r="Z32">
        <v>0</v>
      </c>
      <c r="AA32">
        <v>0</v>
      </c>
      <c r="AB32" t="s">
        <v>52</v>
      </c>
      <c r="AC32" t="s">
        <v>52</v>
      </c>
      <c r="AD32" t="s">
        <v>52</v>
      </c>
      <c r="AE32" t="s">
        <v>52</v>
      </c>
      <c r="AF32" t="s">
        <v>52</v>
      </c>
      <c r="AG32" t="s">
        <v>52</v>
      </c>
      <c r="AH32" t="s">
        <v>52</v>
      </c>
      <c r="AI32" t="s">
        <v>52</v>
      </c>
      <c r="AJ32" t="s">
        <v>52</v>
      </c>
      <c r="AK32" t="s">
        <v>52</v>
      </c>
      <c r="AL32" t="s">
        <v>52</v>
      </c>
      <c r="AM32" t="s">
        <v>361</v>
      </c>
    </row>
    <row r="33" spans="1:39" x14ac:dyDescent="0.35">
      <c r="A33" t="s">
        <v>39</v>
      </c>
      <c r="B33" t="s">
        <v>398</v>
      </c>
      <c r="C33">
        <v>328636</v>
      </c>
      <c r="D33" t="s">
        <v>72</v>
      </c>
      <c r="E33" t="s">
        <v>399</v>
      </c>
      <c r="F33" t="s">
        <v>397</v>
      </c>
      <c r="G33" t="s">
        <v>44</v>
      </c>
      <c r="H33" t="s">
        <v>45</v>
      </c>
      <c r="I33" t="s">
        <v>108</v>
      </c>
      <c r="J33" t="s">
        <v>47</v>
      </c>
      <c r="K33" t="s">
        <v>79</v>
      </c>
      <c r="L33" t="s">
        <v>359</v>
      </c>
      <c r="M33" t="s">
        <v>360</v>
      </c>
      <c r="N33" t="s">
        <v>51</v>
      </c>
      <c r="O33" t="s">
        <v>52</v>
      </c>
      <c r="P33" t="s">
        <v>52</v>
      </c>
      <c r="Q33" t="s">
        <v>52</v>
      </c>
      <c r="R33" t="s">
        <v>52</v>
      </c>
      <c r="S33" t="s">
        <v>52</v>
      </c>
      <c r="T33" t="s">
        <v>52</v>
      </c>
      <c r="U33" t="s">
        <v>52</v>
      </c>
      <c r="V33" t="s">
        <v>52</v>
      </c>
      <c r="W33" t="s">
        <v>52</v>
      </c>
      <c r="X33" t="s">
        <v>52</v>
      </c>
      <c r="Y33" t="s">
        <v>52</v>
      </c>
      <c r="Z33">
        <v>0</v>
      </c>
      <c r="AA33">
        <v>0</v>
      </c>
      <c r="AB33" t="s">
        <v>52</v>
      </c>
      <c r="AC33" t="s">
        <v>52</v>
      </c>
      <c r="AD33" t="s">
        <v>52</v>
      </c>
      <c r="AE33" t="s">
        <v>52</v>
      </c>
      <c r="AF33" t="s">
        <v>52</v>
      </c>
      <c r="AG33" t="s">
        <v>52</v>
      </c>
      <c r="AH33" t="s">
        <v>52</v>
      </c>
      <c r="AI33" t="s">
        <v>52</v>
      </c>
      <c r="AJ33" t="s">
        <v>52</v>
      </c>
      <c r="AK33" t="s">
        <v>52</v>
      </c>
      <c r="AL33" t="s">
        <v>52</v>
      </c>
      <c r="AM33" t="s">
        <v>361</v>
      </c>
    </row>
    <row r="34" spans="1:39" x14ac:dyDescent="0.35">
      <c r="A34" t="s">
        <v>39</v>
      </c>
      <c r="B34" t="s">
        <v>400</v>
      </c>
      <c r="C34">
        <v>328639</v>
      </c>
      <c r="D34" t="s">
        <v>72</v>
      </c>
      <c r="E34" t="s">
        <v>401</v>
      </c>
      <c r="F34" t="s">
        <v>397</v>
      </c>
      <c r="G34" t="s">
        <v>44</v>
      </c>
      <c r="H34" t="s">
        <v>45</v>
      </c>
      <c r="I34" t="s">
        <v>108</v>
      </c>
      <c r="J34" t="s">
        <v>47</v>
      </c>
      <c r="K34" t="s">
        <v>79</v>
      </c>
      <c r="L34" t="s">
        <v>359</v>
      </c>
      <c r="M34" t="s">
        <v>367</v>
      </c>
      <c r="N34" t="s">
        <v>51</v>
      </c>
      <c r="O34" t="s">
        <v>52</v>
      </c>
      <c r="P34" t="s">
        <v>52</v>
      </c>
      <c r="Q34" t="s">
        <v>52</v>
      </c>
      <c r="R34" t="s">
        <v>52</v>
      </c>
      <c r="S34" t="s">
        <v>52</v>
      </c>
      <c r="T34" t="s">
        <v>52</v>
      </c>
      <c r="U34" t="s">
        <v>52</v>
      </c>
      <c r="V34" t="s">
        <v>52</v>
      </c>
      <c r="W34" t="s">
        <v>52</v>
      </c>
      <c r="X34" t="s">
        <v>52</v>
      </c>
      <c r="Y34" t="s">
        <v>52</v>
      </c>
      <c r="Z34">
        <v>0</v>
      </c>
      <c r="AA34">
        <v>0</v>
      </c>
      <c r="AB34" t="s">
        <v>52</v>
      </c>
      <c r="AC34" t="s">
        <v>52</v>
      </c>
      <c r="AD34" t="s">
        <v>52</v>
      </c>
      <c r="AE34" t="s">
        <v>52</v>
      </c>
      <c r="AF34" t="s">
        <v>52</v>
      </c>
      <c r="AG34" t="s">
        <v>52</v>
      </c>
      <c r="AH34" t="s">
        <v>52</v>
      </c>
      <c r="AI34" t="s">
        <v>52</v>
      </c>
      <c r="AJ34" t="s">
        <v>52</v>
      </c>
      <c r="AK34" t="s">
        <v>52</v>
      </c>
      <c r="AL34" t="s">
        <v>52</v>
      </c>
      <c r="AM34" t="s">
        <v>361</v>
      </c>
    </row>
    <row r="35" spans="1:39" x14ac:dyDescent="0.35">
      <c r="A35" t="s">
        <v>39</v>
      </c>
      <c r="B35" t="s">
        <v>402</v>
      </c>
      <c r="C35">
        <v>328638</v>
      </c>
      <c r="D35" t="s">
        <v>72</v>
      </c>
      <c r="E35" t="s">
        <v>403</v>
      </c>
      <c r="F35" t="s">
        <v>397</v>
      </c>
      <c r="G35" t="s">
        <v>44</v>
      </c>
      <c r="H35" t="s">
        <v>45</v>
      </c>
      <c r="I35" t="s">
        <v>108</v>
      </c>
      <c r="J35" t="s">
        <v>47</v>
      </c>
      <c r="K35" t="s">
        <v>79</v>
      </c>
      <c r="L35" t="s">
        <v>359</v>
      </c>
      <c r="M35" t="s">
        <v>360</v>
      </c>
      <c r="N35" t="s">
        <v>51</v>
      </c>
      <c r="O35" t="s">
        <v>52</v>
      </c>
      <c r="P35" t="s">
        <v>52</v>
      </c>
      <c r="Q35" t="s">
        <v>52</v>
      </c>
      <c r="R35" t="s">
        <v>52</v>
      </c>
      <c r="S35" t="s">
        <v>52</v>
      </c>
      <c r="T35" t="s">
        <v>52</v>
      </c>
      <c r="U35" t="s">
        <v>52</v>
      </c>
      <c r="V35" t="s">
        <v>52</v>
      </c>
      <c r="W35" t="s">
        <v>52</v>
      </c>
      <c r="X35" t="s">
        <v>52</v>
      </c>
      <c r="Y35" t="s">
        <v>52</v>
      </c>
      <c r="Z35">
        <v>0</v>
      </c>
      <c r="AA35">
        <v>0</v>
      </c>
      <c r="AB35" t="s">
        <v>52</v>
      </c>
      <c r="AC35" t="s">
        <v>52</v>
      </c>
      <c r="AD35" t="s">
        <v>52</v>
      </c>
      <c r="AE35" t="s">
        <v>52</v>
      </c>
      <c r="AF35" t="s">
        <v>52</v>
      </c>
      <c r="AG35" t="s">
        <v>52</v>
      </c>
      <c r="AH35" t="s">
        <v>52</v>
      </c>
      <c r="AI35" t="s">
        <v>52</v>
      </c>
      <c r="AJ35" t="s">
        <v>52</v>
      </c>
      <c r="AK35" t="s">
        <v>52</v>
      </c>
      <c r="AL35" t="s">
        <v>52</v>
      </c>
      <c r="AM35" t="s">
        <v>361</v>
      </c>
    </row>
    <row r="36" spans="1:39" x14ac:dyDescent="0.35">
      <c r="A36" t="s">
        <v>39</v>
      </c>
      <c r="B36" t="s">
        <v>404</v>
      </c>
      <c r="C36">
        <v>328957</v>
      </c>
      <c r="D36" t="s">
        <v>72</v>
      </c>
      <c r="E36" t="s">
        <v>405</v>
      </c>
      <c r="F36" t="s">
        <v>372</v>
      </c>
      <c r="G36" t="s">
        <v>44</v>
      </c>
      <c r="H36" t="s">
        <v>45</v>
      </c>
      <c r="I36" t="s">
        <v>108</v>
      </c>
      <c r="J36" t="s">
        <v>47</v>
      </c>
      <c r="K36" t="s">
        <v>79</v>
      </c>
      <c r="L36" t="s">
        <v>359</v>
      </c>
      <c r="M36" t="s">
        <v>374</v>
      </c>
      <c r="N36" t="s">
        <v>51</v>
      </c>
      <c r="O36" t="s">
        <v>52</v>
      </c>
      <c r="P36" t="s">
        <v>52</v>
      </c>
      <c r="Q36" t="s">
        <v>52</v>
      </c>
      <c r="R36" t="s">
        <v>52</v>
      </c>
      <c r="S36" t="s">
        <v>52</v>
      </c>
      <c r="T36" t="s">
        <v>52</v>
      </c>
      <c r="U36" t="s">
        <v>52</v>
      </c>
      <c r="V36" t="s">
        <v>52</v>
      </c>
      <c r="W36" t="s">
        <v>52</v>
      </c>
      <c r="X36" t="s">
        <v>52</v>
      </c>
      <c r="Y36" t="s">
        <v>52</v>
      </c>
      <c r="Z36">
        <v>0</v>
      </c>
      <c r="AA36">
        <v>0</v>
      </c>
      <c r="AB36" t="s">
        <v>52</v>
      </c>
      <c r="AC36" t="s">
        <v>52</v>
      </c>
      <c r="AD36" t="s">
        <v>52</v>
      </c>
      <c r="AE36" t="s">
        <v>52</v>
      </c>
      <c r="AF36" t="s">
        <v>52</v>
      </c>
      <c r="AG36" t="s">
        <v>52</v>
      </c>
      <c r="AH36" t="s">
        <v>52</v>
      </c>
      <c r="AI36" t="s">
        <v>52</v>
      </c>
      <c r="AJ36" t="s">
        <v>52</v>
      </c>
      <c r="AK36" t="s">
        <v>52</v>
      </c>
      <c r="AL36" t="s">
        <v>52</v>
      </c>
      <c r="AM36" t="s">
        <v>361</v>
      </c>
    </row>
    <row r="37" spans="1:39" x14ac:dyDescent="0.35">
      <c r="A37" t="s">
        <v>39</v>
      </c>
      <c r="B37" t="s">
        <v>406</v>
      </c>
      <c r="C37">
        <v>328831</v>
      </c>
      <c r="D37" t="s">
        <v>72</v>
      </c>
      <c r="E37" t="s">
        <v>407</v>
      </c>
      <c r="F37" t="s">
        <v>372</v>
      </c>
      <c r="G37" t="s">
        <v>44</v>
      </c>
      <c r="H37" t="s">
        <v>45</v>
      </c>
      <c r="I37" t="s">
        <v>108</v>
      </c>
      <c r="J37" t="s">
        <v>47</v>
      </c>
      <c r="K37" t="s">
        <v>79</v>
      </c>
      <c r="L37" t="s">
        <v>359</v>
      </c>
      <c r="M37" t="s">
        <v>374</v>
      </c>
      <c r="N37" t="s">
        <v>51</v>
      </c>
      <c r="O37" t="s">
        <v>408</v>
      </c>
      <c r="P37" t="s">
        <v>409</v>
      </c>
      <c r="Q37" t="s">
        <v>410</v>
      </c>
      <c r="R37" t="s">
        <v>411</v>
      </c>
      <c r="S37" t="s">
        <v>411</v>
      </c>
      <c r="T37" t="s">
        <v>412</v>
      </c>
      <c r="U37" t="s">
        <v>413</v>
      </c>
      <c r="V37" t="s">
        <v>413</v>
      </c>
      <c r="W37" t="s">
        <v>414</v>
      </c>
      <c r="X37" t="s">
        <v>415</v>
      </c>
      <c r="Y37" t="s">
        <v>416</v>
      </c>
      <c r="Z37">
        <v>36.79</v>
      </c>
      <c r="AA37">
        <v>36.79</v>
      </c>
      <c r="AB37" t="s">
        <v>417</v>
      </c>
      <c r="AC37" t="s">
        <v>418</v>
      </c>
      <c r="AD37" t="s">
        <v>418</v>
      </c>
      <c r="AE37" t="s">
        <v>419</v>
      </c>
      <c r="AF37" t="s">
        <v>420</v>
      </c>
      <c r="AG37" t="s">
        <v>421</v>
      </c>
      <c r="AH37" t="s">
        <v>422</v>
      </c>
      <c r="AI37" t="s">
        <v>422</v>
      </c>
      <c r="AJ37" t="s">
        <v>423</v>
      </c>
      <c r="AK37" t="s">
        <v>424</v>
      </c>
      <c r="AL37" t="s">
        <v>424</v>
      </c>
      <c r="AM37" t="s">
        <v>361</v>
      </c>
    </row>
    <row r="38" spans="1:39" x14ac:dyDescent="0.35">
      <c r="A38" t="s">
        <v>39</v>
      </c>
      <c r="B38" t="s">
        <v>425</v>
      </c>
      <c r="C38">
        <v>328841</v>
      </c>
      <c r="D38" t="s">
        <v>72</v>
      </c>
      <c r="E38" t="s">
        <v>426</v>
      </c>
      <c r="F38" t="s">
        <v>372</v>
      </c>
      <c r="G38" t="s">
        <v>44</v>
      </c>
      <c r="H38" t="s">
        <v>45</v>
      </c>
      <c r="I38" t="s">
        <v>427</v>
      </c>
      <c r="J38" t="s">
        <v>47</v>
      </c>
      <c r="K38" t="s">
        <v>79</v>
      </c>
      <c r="L38" t="s">
        <v>359</v>
      </c>
      <c r="M38" t="s">
        <v>374</v>
      </c>
      <c r="N38" t="s">
        <v>51</v>
      </c>
      <c r="O38" t="s">
        <v>428</v>
      </c>
      <c r="P38" t="s">
        <v>429</v>
      </c>
      <c r="Q38" t="s">
        <v>430</v>
      </c>
      <c r="R38" t="s">
        <v>431</v>
      </c>
      <c r="S38" t="s">
        <v>431</v>
      </c>
      <c r="T38" t="s">
        <v>432</v>
      </c>
      <c r="U38" t="s">
        <v>433</v>
      </c>
      <c r="V38" t="s">
        <v>433</v>
      </c>
      <c r="W38" t="s">
        <v>434</v>
      </c>
      <c r="X38" t="s">
        <v>435</v>
      </c>
      <c r="Y38" t="s">
        <v>436</v>
      </c>
      <c r="Z38">
        <v>16.84</v>
      </c>
      <c r="AA38">
        <v>16.84</v>
      </c>
      <c r="AB38" t="s">
        <v>437</v>
      </c>
      <c r="AC38" t="s">
        <v>438</v>
      </c>
      <c r="AD38" t="s">
        <v>438</v>
      </c>
      <c r="AE38" t="s">
        <v>439</v>
      </c>
      <c r="AF38" t="s">
        <v>440</v>
      </c>
      <c r="AG38" t="s">
        <v>441</v>
      </c>
      <c r="AH38" t="s">
        <v>442</v>
      </c>
      <c r="AI38" t="s">
        <v>442</v>
      </c>
      <c r="AJ38" t="s">
        <v>443</v>
      </c>
      <c r="AK38" t="s">
        <v>444</v>
      </c>
      <c r="AL38" t="s">
        <v>444</v>
      </c>
      <c r="AM38" t="s">
        <v>361</v>
      </c>
    </row>
    <row r="39" spans="1:39" x14ac:dyDescent="0.35">
      <c r="A39" t="s">
        <v>39</v>
      </c>
      <c r="B39" t="s">
        <v>445</v>
      </c>
      <c r="C39">
        <v>328660</v>
      </c>
      <c r="D39" t="s">
        <v>72</v>
      </c>
      <c r="E39" t="s">
        <v>446</v>
      </c>
      <c r="F39" t="s">
        <v>372</v>
      </c>
      <c r="G39" t="s">
        <v>44</v>
      </c>
      <c r="H39" t="s">
        <v>45</v>
      </c>
      <c r="I39" t="s">
        <v>427</v>
      </c>
      <c r="J39" t="s">
        <v>47</v>
      </c>
      <c r="K39" t="s">
        <v>79</v>
      </c>
      <c r="L39" t="s">
        <v>359</v>
      </c>
      <c r="M39" t="s">
        <v>367</v>
      </c>
      <c r="N39" t="s">
        <v>51</v>
      </c>
      <c r="O39" t="s">
        <v>52</v>
      </c>
      <c r="P39" t="s">
        <v>52</v>
      </c>
      <c r="Q39" t="s">
        <v>52</v>
      </c>
      <c r="R39" t="s">
        <v>52</v>
      </c>
      <c r="S39" t="s">
        <v>52</v>
      </c>
      <c r="T39" t="s">
        <v>52</v>
      </c>
      <c r="U39" t="s">
        <v>52</v>
      </c>
      <c r="V39" t="s">
        <v>52</v>
      </c>
      <c r="W39" t="s">
        <v>52</v>
      </c>
      <c r="X39" t="s">
        <v>52</v>
      </c>
      <c r="Y39" t="s">
        <v>52</v>
      </c>
      <c r="Z39">
        <v>0</v>
      </c>
      <c r="AA39">
        <v>0</v>
      </c>
      <c r="AB39" t="s">
        <v>52</v>
      </c>
      <c r="AC39" t="s">
        <v>52</v>
      </c>
      <c r="AD39" t="s">
        <v>52</v>
      </c>
      <c r="AE39" t="s">
        <v>52</v>
      </c>
      <c r="AF39" t="s">
        <v>52</v>
      </c>
      <c r="AG39" t="s">
        <v>52</v>
      </c>
      <c r="AH39" t="s">
        <v>52</v>
      </c>
      <c r="AI39" t="s">
        <v>52</v>
      </c>
      <c r="AJ39" t="s">
        <v>52</v>
      </c>
      <c r="AK39" t="s">
        <v>52</v>
      </c>
      <c r="AL39" t="s">
        <v>52</v>
      </c>
      <c r="AM39" t="s">
        <v>361</v>
      </c>
    </row>
    <row r="40" spans="1:39" x14ac:dyDescent="0.35">
      <c r="A40" t="s">
        <v>39</v>
      </c>
      <c r="B40" t="s">
        <v>447</v>
      </c>
      <c r="C40">
        <v>328666</v>
      </c>
      <c r="D40" t="s">
        <v>72</v>
      </c>
      <c r="E40" t="s">
        <v>448</v>
      </c>
      <c r="F40" t="s">
        <v>372</v>
      </c>
      <c r="G40" t="s">
        <v>44</v>
      </c>
      <c r="H40" t="s">
        <v>45</v>
      </c>
      <c r="I40" t="s">
        <v>373</v>
      </c>
      <c r="J40" t="s">
        <v>47</v>
      </c>
      <c r="K40" t="s">
        <v>79</v>
      </c>
      <c r="L40" t="s">
        <v>359</v>
      </c>
      <c r="M40" t="s">
        <v>367</v>
      </c>
      <c r="N40" t="s">
        <v>51</v>
      </c>
      <c r="O40" t="s">
        <v>449</v>
      </c>
      <c r="P40" t="s">
        <v>450</v>
      </c>
      <c r="Q40" t="s">
        <v>451</v>
      </c>
      <c r="R40" t="s">
        <v>452</v>
      </c>
      <c r="S40" t="s">
        <v>453</v>
      </c>
      <c r="T40" t="s">
        <v>164</v>
      </c>
      <c r="U40" t="s">
        <v>454</v>
      </c>
      <c r="V40" t="s">
        <v>52</v>
      </c>
      <c r="W40" t="s">
        <v>455</v>
      </c>
      <c r="X40" t="s">
        <v>456</v>
      </c>
      <c r="Y40" t="s">
        <v>457</v>
      </c>
      <c r="Z40">
        <v>6.18</v>
      </c>
      <c r="AA40">
        <v>4.58</v>
      </c>
      <c r="AB40" t="s">
        <v>458</v>
      </c>
      <c r="AC40" t="s">
        <v>459</v>
      </c>
      <c r="AD40" t="s">
        <v>52</v>
      </c>
      <c r="AE40" t="s">
        <v>460</v>
      </c>
      <c r="AF40" t="s">
        <v>461</v>
      </c>
      <c r="AG40" t="s">
        <v>462</v>
      </c>
      <c r="AH40" t="s">
        <v>463</v>
      </c>
      <c r="AI40" t="s">
        <v>464</v>
      </c>
      <c r="AJ40" t="s">
        <v>465</v>
      </c>
      <c r="AK40" t="s">
        <v>466</v>
      </c>
      <c r="AL40" t="s">
        <v>52</v>
      </c>
      <c r="AM40" t="s">
        <v>361</v>
      </c>
    </row>
    <row r="41" spans="1:39" x14ac:dyDescent="0.35">
      <c r="A41" t="s">
        <v>39</v>
      </c>
      <c r="B41" t="s">
        <v>467</v>
      </c>
      <c r="C41">
        <v>328830</v>
      </c>
      <c r="D41" t="s">
        <v>72</v>
      </c>
      <c r="E41" t="s">
        <v>468</v>
      </c>
      <c r="F41" t="s">
        <v>372</v>
      </c>
      <c r="G41" t="s">
        <v>44</v>
      </c>
      <c r="H41" t="s">
        <v>45</v>
      </c>
      <c r="I41" t="s">
        <v>373</v>
      </c>
      <c r="J41" t="s">
        <v>47</v>
      </c>
      <c r="K41" t="s">
        <v>79</v>
      </c>
      <c r="L41" t="s">
        <v>359</v>
      </c>
      <c r="M41" t="s">
        <v>469</v>
      </c>
      <c r="N41" t="s">
        <v>51</v>
      </c>
      <c r="O41" t="s">
        <v>470</v>
      </c>
      <c r="P41" t="s">
        <v>471</v>
      </c>
      <c r="Q41" t="s">
        <v>472</v>
      </c>
      <c r="R41" t="s">
        <v>473</v>
      </c>
      <c r="S41" t="s">
        <v>474</v>
      </c>
      <c r="T41" t="s">
        <v>471</v>
      </c>
      <c r="U41" t="s">
        <v>475</v>
      </c>
      <c r="V41" t="s">
        <v>475</v>
      </c>
      <c r="W41" t="s">
        <v>476</v>
      </c>
      <c r="X41" t="s">
        <v>477</v>
      </c>
      <c r="Y41" t="s">
        <v>478</v>
      </c>
      <c r="Z41">
        <v>8.9</v>
      </c>
      <c r="AA41">
        <v>9.5</v>
      </c>
      <c r="AB41" t="s">
        <v>477</v>
      </c>
      <c r="AC41" t="s">
        <v>479</v>
      </c>
      <c r="AD41" t="s">
        <v>479</v>
      </c>
      <c r="AE41" t="s">
        <v>480</v>
      </c>
      <c r="AF41" t="s">
        <v>481</v>
      </c>
      <c r="AG41" t="s">
        <v>482</v>
      </c>
      <c r="AH41" t="s">
        <v>483</v>
      </c>
      <c r="AI41" t="s">
        <v>484</v>
      </c>
      <c r="AJ41" t="s">
        <v>481</v>
      </c>
      <c r="AK41" t="s">
        <v>485</v>
      </c>
      <c r="AL41" t="s">
        <v>485</v>
      </c>
      <c r="AM41" t="s">
        <v>361</v>
      </c>
    </row>
    <row r="42" spans="1:39" x14ac:dyDescent="0.35">
      <c r="A42" t="s">
        <v>39</v>
      </c>
      <c r="B42" t="s">
        <v>486</v>
      </c>
      <c r="C42">
        <v>328668</v>
      </c>
      <c r="D42" t="s">
        <v>72</v>
      </c>
      <c r="E42" t="s">
        <v>487</v>
      </c>
      <c r="F42" t="s">
        <v>372</v>
      </c>
      <c r="G42" t="s">
        <v>44</v>
      </c>
      <c r="H42" t="s">
        <v>45</v>
      </c>
      <c r="I42" t="s">
        <v>373</v>
      </c>
      <c r="J42" t="s">
        <v>47</v>
      </c>
      <c r="K42" t="s">
        <v>79</v>
      </c>
      <c r="L42" t="s">
        <v>359</v>
      </c>
      <c r="M42" t="s">
        <v>367</v>
      </c>
      <c r="N42" t="s">
        <v>51</v>
      </c>
      <c r="O42" t="s">
        <v>488</v>
      </c>
      <c r="P42" t="s">
        <v>52</v>
      </c>
      <c r="Q42" t="s">
        <v>52</v>
      </c>
      <c r="R42" t="s">
        <v>52</v>
      </c>
      <c r="S42" t="s">
        <v>52</v>
      </c>
      <c r="T42" t="s">
        <v>52</v>
      </c>
      <c r="U42" t="s">
        <v>52</v>
      </c>
      <c r="V42" t="s">
        <v>52</v>
      </c>
      <c r="W42" t="s">
        <v>489</v>
      </c>
      <c r="X42" t="s">
        <v>52</v>
      </c>
      <c r="Y42" t="s">
        <v>52</v>
      </c>
      <c r="Z42">
        <v>0</v>
      </c>
      <c r="AA42">
        <v>0</v>
      </c>
      <c r="AB42" t="s">
        <v>52</v>
      </c>
      <c r="AC42" t="s">
        <v>52</v>
      </c>
      <c r="AD42" t="s">
        <v>52</v>
      </c>
      <c r="AE42" t="s">
        <v>490</v>
      </c>
      <c r="AF42" t="s">
        <v>52</v>
      </c>
      <c r="AG42" t="s">
        <v>52</v>
      </c>
      <c r="AH42" t="s">
        <v>52</v>
      </c>
      <c r="AI42" t="s">
        <v>52</v>
      </c>
      <c r="AJ42" t="s">
        <v>52</v>
      </c>
      <c r="AK42" t="s">
        <v>52</v>
      </c>
      <c r="AL42" t="s">
        <v>52</v>
      </c>
      <c r="AM42" t="s">
        <v>361</v>
      </c>
    </row>
    <row r="43" spans="1:39" x14ac:dyDescent="0.35">
      <c r="A43" t="s">
        <v>39</v>
      </c>
      <c r="B43" t="s">
        <v>491</v>
      </c>
      <c r="C43">
        <v>328661</v>
      </c>
      <c r="D43" t="s">
        <v>72</v>
      </c>
      <c r="E43" t="s">
        <v>492</v>
      </c>
      <c r="F43" t="s">
        <v>372</v>
      </c>
      <c r="G43" t="s">
        <v>44</v>
      </c>
      <c r="H43" t="s">
        <v>45</v>
      </c>
      <c r="I43" t="s">
        <v>427</v>
      </c>
      <c r="J43" t="s">
        <v>47</v>
      </c>
      <c r="K43" t="s">
        <v>79</v>
      </c>
      <c r="L43" t="s">
        <v>359</v>
      </c>
      <c r="M43" t="s">
        <v>367</v>
      </c>
      <c r="N43" t="s">
        <v>51</v>
      </c>
      <c r="O43" t="s">
        <v>52</v>
      </c>
      <c r="P43" t="s">
        <v>52</v>
      </c>
      <c r="Q43" t="s">
        <v>52</v>
      </c>
      <c r="R43" t="s">
        <v>52</v>
      </c>
      <c r="S43" t="s">
        <v>52</v>
      </c>
      <c r="T43" t="s">
        <v>52</v>
      </c>
      <c r="U43" t="s">
        <v>52</v>
      </c>
      <c r="V43" t="s">
        <v>52</v>
      </c>
      <c r="W43" t="s">
        <v>52</v>
      </c>
      <c r="X43" t="s">
        <v>52</v>
      </c>
      <c r="Y43" t="s">
        <v>52</v>
      </c>
      <c r="Z43">
        <v>0</v>
      </c>
      <c r="AA43">
        <v>0</v>
      </c>
      <c r="AB43" t="s">
        <v>52</v>
      </c>
      <c r="AC43" t="s">
        <v>52</v>
      </c>
      <c r="AD43" t="s">
        <v>52</v>
      </c>
      <c r="AE43" t="s">
        <v>52</v>
      </c>
      <c r="AF43" t="s">
        <v>52</v>
      </c>
      <c r="AG43" t="s">
        <v>52</v>
      </c>
      <c r="AH43" t="s">
        <v>52</v>
      </c>
      <c r="AI43" t="s">
        <v>52</v>
      </c>
      <c r="AJ43" t="s">
        <v>52</v>
      </c>
      <c r="AK43" t="s">
        <v>52</v>
      </c>
      <c r="AL43" t="s">
        <v>52</v>
      </c>
      <c r="AM43" t="s">
        <v>361</v>
      </c>
    </row>
    <row r="44" spans="1:39" x14ac:dyDescent="0.35">
      <c r="A44" t="s">
        <v>39</v>
      </c>
      <c r="B44" t="s">
        <v>493</v>
      </c>
      <c r="C44">
        <v>328673</v>
      </c>
      <c r="D44" t="s">
        <v>72</v>
      </c>
      <c r="E44" t="s">
        <v>494</v>
      </c>
      <c r="F44" t="s">
        <v>372</v>
      </c>
      <c r="G44" t="s">
        <v>44</v>
      </c>
      <c r="H44" t="s">
        <v>45</v>
      </c>
      <c r="I44" t="s">
        <v>108</v>
      </c>
      <c r="J44" t="s">
        <v>47</v>
      </c>
      <c r="K44" t="s">
        <v>79</v>
      </c>
      <c r="L44" t="s">
        <v>359</v>
      </c>
      <c r="M44" t="s">
        <v>367</v>
      </c>
      <c r="N44" t="s">
        <v>51</v>
      </c>
      <c r="O44" t="s">
        <v>495</v>
      </c>
      <c r="P44" t="s">
        <v>496</v>
      </c>
      <c r="Q44" t="s">
        <v>497</v>
      </c>
      <c r="R44" t="s">
        <v>498</v>
      </c>
      <c r="S44" t="s">
        <v>498</v>
      </c>
      <c r="T44" t="s">
        <v>499</v>
      </c>
      <c r="U44" t="s">
        <v>500</v>
      </c>
      <c r="V44" t="s">
        <v>52</v>
      </c>
      <c r="W44" t="s">
        <v>501</v>
      </c>
      <c r="X44" t="s">
        <v>502</v>
      </c>
      <c r="Y44" t="s">
        <v>503</v>
      </c>
      <c r="Z44">
        <v>6.86</v>
      </c>
      <c r="AA44">
        <v>6.86</v>
      </c>
      <c r="AB44" t="s">
        <v>504</v>
      </c>
      <c r="AC44" t="s">
        <v>505</v>
      </c>
      <c r="AD44" t="s">
        <v>52</v>
      </c>
      <c r="AE44" t="s">
        <v>506</v>
      </c>
      <c r="AF44" t="s">
        <v>507</v>
      </c>
      <c r="AG44" t="s">
        <v>508</v>
      </c>
      <c r="AH44" t="s">
        <v>509</v>
      </c>
      <c r="AI44" t="s">
        <v>509</v>
      </c>
      <c r="AJ44" t="s">
        <v>510</v>
      </c>
      <c r="AK44" t="s">
        <v>511</v>
      </c>
      <c r="AL44" t="s">
        <v>52</v>
      </c>
      <c r="AM44" t="s">
        <v>361</v>
      </c>
    </row>
    <row r="45" spans="1:39" x14ac:dyDescent="0.35">
      <c r="A45" t="s">
        <v>39</v>
      </c>
      <c r="B45" t="s">
        <v>512</v>
      </c>
      <c r="C45">
        <v>345340</v>
      </c>
      <c r="D45" t="s">
        <v>72</v>
      </c>
      <c r="E45" t="s">
        <v>513</v>
      </c>
      <c r="F45" t="s">
        <v>514</v>
      </c>
      <c r="G45" t="s">
        <v>44</v>
      </c>
      <c r="H45" t="s">
        <v>45</v>
      </c>
      <c r="I45" t="s">
        <v>108</v>
      </c>
      <c r="J45" t="s">
        <v>47</v>
      </c>
      <c r="K45" t="s">
        <v>79</v>
      </c>
      <c r="L45" t="s">
        <v>515</v>
      </c>
      <c r="M45" t="s">
        <v>516</v>
      </c>
      <c r="N45" t="s">
        <v>51</v>
      </c>
      <c r="O45" t="s">
        <v>517</v>
      </c>
      <c r="P45" t="s">
        <v>518</v>
      </c>
      <c r="Q45" t="s">
        <v>519</v>
      </c>
      <c r="R45" t="s">
        <v>520</v>
      </c>
      <c r="S45" t="s">
        <v>52</v>
      </c>
      <c r="T45" t="s">
        <v>52</v>
      </c>
      <c r="U45" t="s">
        <v>52</v>
      </c>
      <c r="V45" t="s">
        <v>52</v>
      </c>
      <c r="W45" t="s">
        <v>521</v>
      </c>
      <c r="X45" t="s">
        <v>522</v>
      </c>
      <c r="Y45" t="s">
        <v>523</v>
      </c>
      <c r="Z45">
        <v>5.2</v>
      </c>
      <c r="AA45">
        <v>0</v>
      </c>
      <c r="AB45" t="s">
        <v>52</v>
      </c>
      <c r="AC45" t="s">
        <v>52</v>
      </c>
      <c r="AD45" t="s">
        <v>52</v>
      </c>
      <c r="AE45" t="s">
        <v>524</v>
      </c>
      <c r="AF45" t="s">
        <v>525</v>
      </c>
      <c r="AG45" t="s">
        <v>526</v>
      </c>
      <c r="AH45" t="s">
        <v>527</v>
      </c>
      <c r="AI45" t="s">
        <v>52</v>
      </c>
      <c r="AJ45" t="s">
        <v>52</v>
      </c>
      <c r="AK45" t="s">
        <v>52</v>
      </c>
      <c r="AL45" t="s">
        <v>52</v>
      </c>
      <c r="AM45" t="s">
        <v>528</v>
      </c>
    </row>
    <row r="46" spans="1:39" x14ac:dyDescent="0.35">
      <c r="A46" t="s">
        <v>39</v>
      </c>
      <c r="B46" t="s">
        <v>529</v>
      </c>
      <c r="C46">
        <v>345341</v>
      </c>
      <c r="D46" t="s">
        <v>72</v>
      </c>
      <c r="E46" t="s">
        <v>530</v>
      </c>
      <c r="F46" t="s">
        <v>514</v>
      </c>
      <c r="G46" t="s">
        <v>44</v>
      </c>
      <c r="H46" t="s">
        <v>45</v>
      </c>
      <c r="I46" t="s">
        <v>108</v>
      </c>
      <c r="J46" t="s">
        <v>47</v>
      </c>
      <c r="K46" t="s">
        <v>79</v>
      </c>
      <c r="L46" t="s">
        <v>515</v>
      </c>
      <c r="M46" t="s">
        <v>516</v>
      </c>
      <c r="N46" t="s">
        <v>51</v>
      </c>
      <c r="O46" t="s">
        <v>531</v>
      </c>
      <c r="P46" t="s">
        <v>532</v>
      </c>
      <c r="Q46" t="s">
        <v>533</v>
      </c>
      <c r="R46" t="s">
        <v>534</v>
      </c>
      <c r="S46" t="s">
        <v>52</v>
      </c>
      <c r="T46" t="s">
        <v>52</v>
      </c>
      <c r="U46" t="s">
        <v>52</v>
      </c>
      <c r="V46" t="s">
        <v>52</v>
      </c>
      <c r="W46" t="s">
        <v>535</v>
      </c>
      <c r="X46" t="s">
        <v>536</v>
      </c>
      <c r="Y46" t="s">
        <v>127</v>
      </c>
      <c r="Z46">
        <v>4.57</v>
      </c>
      <c r="AA46">
        <v>0</v>
      </c>
      <c r="AB46" t="s">
        <v>52</v>
      </c>
      <c r="AC46" t="s">
        <v>52</v>
      </c>
      <c r="AD46" t="s">
        <v>52</v>
      </c>
      <c r="AE46" t="s">
        <v>537</v>
      </c>
      <c r="AF46" t="s">
        <v>538</v>
      </c>
      <c r="AG46" t="s">
        <v>539</v>
      </c>
      <c r="AH46" t="s">
        <v>540</v>
      </c>
      <c r="AI46" t="s">
        <v>52</v>
      </c>
      <c r="AJ46" t="s">
        <v>52</v>
      </c>
      <c r="AK46" t="s">
        <v>52</v>
      </c>
      <c r="AL46" t="s">
        <v>52</v>
      </c>
      <c r="AM46" t="s">
        <v>528</v>
      </c>
    </row>
    <row r="47" spans="1:39" x14ac:dyDescent="0.35">
      <c r="A47" t="s">
        <v>39</v>
      </c>
      <c r="B47" t="s">
        <v>541</v>
      </c>
      <c r="C47">
        <v>345610</v>
      </c>
      <c r="D47" t="s">
        <v>72</v>
      </c>
      <c r="E47" t="s">
        <v>542</v>
      </c>
      <c r="F47" t="s">
        <v>543</v>
      </c>
      <c r="G47" t="s">
        <v>44</v>
      </c>
      <c r="H47" t="s">
        <v>45</v>
      </c>
      <c r="I47" t="s">
        <v>377</v>
      </c>
      <c r="J47" t="s">
        <v>47</v>
      </c>
      <c r="K47" t="s">
        <v>79</v>
      </c>
      <c r="L47" t="s">
        <v>359</v>
      </c>
      <c r="M47" t="s">
        <v>374</v>
      </c>
      <c r="N47" t="s">
        <v>51</v>
      </c>
      <c r="O47" t="s">
        <v>52</v>
      </c>
      <c r="P47" t="s">
        <v>544</v>
      </c>
      <c r="Q47" t="s">
        <v>545</v>
      </c>
      <c r="R47" t="s">
        <v>546</v>
      </c>
      <c r="S47" t="s">
        <v>546</v>
      </c>
      <c r="T47" t="s">
        <v>52</v>
      </c>
      <c r="U47" t="s">
        <v>52</v>
      </c>
      <c r="V47" t="s">
        <v>52</v>
      </c>
      <c r="W47" t="s">
        <v>52</v>
      </c>
      <c r="X47" t="s">
        <v>547</v>
      </c>
      <c r="Y47" t="s">
        <v>548</v>
      </c>
      <c r="Z47">
        <v>0.23</v>
      </c>
      <c r="AA47">
        <v>0.23</v>
      </c>
      <c r="AB47" t="s">
        <v>52</v>
      </c>
      <c r="AC47" t="s">
        <v>52</v>
      </c>
      <c r="AD47" t="s">
        <v>52</v>
      </c>
      <c r="AE47" t="s">
        <v>52</v>
      </c>
      <c r="AF47" t="s">
        <v>549</v>
      </c>
      <c r="AG47" t="s">
        <v>550</v>
      </c>
      <c r="AH47" t="s">
        <v>242</v>
      </c>
      <c r="AI47" t="s">
        <v>242</v>
      </c>
      <c r="AJ47" t="s">
        <v>52</v>
      </c>
      <c r="AK47" t="s">
        <v>52</v>
      </c>
      <c r="AL47" t="s">
        <v>52</v>
      </c>
      <c r="AM47" t="s">
        <v>361</v>
      </c>
    </row>
    <row r="48" spans="1:39" x14ac:dyDescent="0.35">
      <c r="A48" t="s">
        <v>39</v>
      </c>
      <c r="B48" t="s">
        <v>551</v>
      </c>
      <c r="C48">
        <v>304395</v>
      </c>
      <c r="D48" t="s">
        <v>72</v>
      </c>
      <c r="E48" t="s">
        <v>552</v>
      </c>
      <c r="F48" t="s">
        <v>553</v>
      </c>
      <c r="G48" t="s">
        <v>554</v>
      </c>
      <c r="H48" t="s">
        <v>45</v>
      </c>
      <c r="I48" t="s">
        <v>108</v>
      </c>
      <c r="J48" t="s">
        <v>78</v>
      </c>
      <c r="K48" t="s">
        <v>79</v>
      </c>
      <c r="L48" t="s">
        <v>555</v>
      </c>
      <c r="M48" t="s">
        <v>556</v>
      </c>
      <c r="N48" t="s">
        <v>557</v>
      </c>
      <c r="O48" t="s">
        <v>558</v>
      </c>
      <c r="P48" t="s">
        <v>559</v>
      </c>
      <c r="Q48" t="s">
        <v>559</v>
      </c>
      <c r="R48" t="s">
        <v>559</v>
      </c>
      <c r="S48" t="s">
        <v>559</v>
      </c>
      <c r="T48" t="s">
        <v>560</v>
      </c>
      <c r="U48" t="s">
        <v>560</v>
      </c>
      <c r="V48" t="s">
        <v>560</v>
      </c>
      <c r="W48" t="s">
        <v>561</v>
      </c>
      <c r="X48" t="s">
        <v>237</v>
      </c>
      <c r="Y48" t="s">
        <v>237</v>
      </c>
      <c r="Z48">
        <v>0.54</v>
      </c>
      <c r="AA48">
        <v>0.54</v>
      </c>
      <c r="AB48" t="s">
        <v>562</v>
      </c>
      <c r="AC48" t="s">
        <v>562</v>
      </c>
      <c r="AD48" t="s">
        <v>562</v>
      </c>
      <c r="AE48" t="s">
        <v>563</v>
      </c>
      <c r="AF48" t="s">
        <v>564</v>
      </c>
      <c r="AG48" t="s">
        <v>564</v>
      </c>
      <c r="AH48" t="s">
        <v>564</v>
      </c>
      <c r="AI48" t="s">
        <v>564</v>
      </c>
      <c r="AJ48" t="s">
        <v>565</v>
      </c>
      <c r="AK48" t="s">
        <v>565</v>
      </c>
      <c r="AL48" t="s">
        <v>565</v>
      </c>
      <c r="AM48" t="s">
        <v>555</v>
      </c>
    </row>
    <row r="49" spans="1:39" x14ac:dyDescent="0.35">
      <c r="A49" t="s">
        <v>39</v>
      </c>
      <c r="B49" t="s">
        <v>566</v>
      </c>
      <c r="C49">
        <v>314269</v>
      </c>
      <c r="D49" t="s">
        <v>72</v>
      </c>
      <c r="E49" t="s">
        <v>567</v>
      </c>
      <c r="F49" t="s">
        <v>568</v>
      </c>
      <c r="G49" t="s">
        <v>554</v>
      </c>
      <c r="H49" t="s">
        <v>45</v>
      </c>
      <c r="I49" t="s">
        <v>108</v>
      </c>
      <c r="J49" t="s">
        <v>78</v>
      </c>
      <c r="K49" t="s">
        <v>79</v>
      </c>
      <c r="L49" t="s">
        <v>555</v>
      </c>
      <c r="M49" t="s">
        <v>556</v>
      </c>
      <c r="N49" t="s">
        <v>557</v>
      </c>
      <c r="O49" t="s">
        <v>569</v>
      </c>
      <c r="P49" t="s">
        <v>135</v>
      </c>
      <c r="Q49" t="s">
        <v>135</v>
      </c>
      <c r="R49" t="s">
        <v>570</v>
      </c>
      <c r="S49" t="s">
        <v>570</v>
      </c>
      <c r="T49" t="s">
        <v>571</v>
      </c>
      <c r="U49" t="s">
        <v>572</v>
      </c>
      <c r="V49" t="s">
        <v>572</v>
      </c>
      <c r="W49" t="s">
        <v>573</v>
      </c>
      <c r="X49" t="s">
        <v>574</v>
      </c>
      <c r="Y49" t="s">
        <v>574</v>
      </c>
      <c r="Z49">
        <v>2.77</v>
      </c>
      <c r="AA49">
        <v>2.77</v>
      </c>
      <c r="AB49" t="s">
        <v>575</v>
      </c>
      <c r="AC49" t="s">
        <v>574</v>
      </c>
      <c r="AD49" t="s">
        <v>574</v>
      </c>
      <c r="AE49" t="s">
        <v>576</v>
      </c>
      <c r="AF49" t="s">
        <v>577</v>
      </c>
      <c r="AG49" t="s">
        <v>577</v>
      </c>
      <c r="AH49" t="s">
        <v>578</v>
      </c>
      <c r="AI49" t="s">
        <v>578</v>
      </c>
      <c r="AJ49" t="s">
        <v>579</v>
      </c>
      <c r="AK49" t="s">
        <v>580</v>
      </c>
      <c r="AL49" t="s">
        <v>580</v>
      </c>
      <c r="AM49" t="s">
        <v>555</v>
      </c>
    </row>
    <row r="50" spans="1:39" x14ac:dyDescent="0.35">
      <c r="A50" t="s">
        <v>39</v>
      </c>
      <c r="B50" t="s">
        <v>581</v>
      </c>
      <c r="C50">
        <v>314213</v>
      </c>
      <c r="D50" t="s">
        <v>72</v>
      </c>
      <c r="E50" t="s">
        <v>582</v>
      </c>
      <c r="F50" t="s">
        <v>568</v>
      </c>
      <c r="G50" t="s">
        <v>554</v>
      </c>
      <c r="H50" t="s">
        <v>45</v>
      </c>
      <c r="I50" t="s">
        <v>108</v>
      </c>
      <c r="J50" t="s">
        <v>78</v>
      </c>
      <c r="K50" t="s">
        <v>79</v>
      </c>
      <c r="L50" t="s">
        <v>555</v>
      </c>
      <c r="M50" t="s">
        <v>556</v>
      </c>
      <c r="N50" t="s">
        <v>557</v>
      </c>
      <c r="O50" t="s">
        <v>583</v>
      </c>
      <c r="P50" t="s">
        <v>584</v>
      </c>
      <c r="Q50" t="s">
        <v>585</v>
      </c>
      <c r="R50" t="s">
        <v>586</v>
      </c>
      <c r="S50" t="s">
        <v>586</v>
      </c>
      <c r="T50" t="s">
        <v>587</v>
      </c>
      <c r="U50" t="s">
        <v>588</v>
      </c>
      <c r="V50" t="s">
        <v>589</v>
      </c>
      <c r="W50" t="s">
        <v>590</v>
      </c>
      <c r="X50" t="s">
        <v>591</v>
      </c>
      <c r="Y50" t="s">
        <v>592</v>
      </c>
      <c r="Z50">
        <v>6.26</v>
      </c>
      <c r="AA50">
        <v>6.26</v>
      </c>
      <c r="AB50" t="s">
        <v>593</v>
      </c>
      <c r="AC50" t="s">
        <v>594</v>
      </c>
      <c r="AD50" t="s">
        <v>595</v>
      </c>
      <c r="AE50" t="s">
        <v>596</v>
      </c>
      <c r="AF50" t="s">
        <v>597</v>
      </c>
      <c r="AG50" t="s">
        <v>598</v>
      </c>
      <c r="AH50" t="s">
        <v>599</v>
      </c>
      <c r="AI50" t="s">
        <v>599</v>
      </c>
      <c r="AJ50" t="s">
        <v>600</v>
      </c>
      <c r="AK50" t="s">
        <v>601</v>
      </c>
      <c r="AL50" t="s">
        <v>602</v>
      </c>
      <c r="AM50" t="s">
        <v>555</v>
      </c>
    </row>
    <row r="51" spans="1:39" x14ac:dyDescent="0.35">
      <c r="A51" t="s">
        <v>39</v>
      </c>
      <c r="B51" t="s">
        <v>603</v>
      </c>
      <c r="C51">
        <v>314300</v>
      </c>
      <c r="D51" t="s">
        <v>72</v>
      </c>
      <c r="E51" t="s">
        <v>604</v>
      </c>
      <c r="F51" t="s">
        <v>568</v>
      </c>
      <c r="G51" t="s">
        <v>554</v>
      </c>
      <c r="H51" t="s">
        <v>45</v>
      </c>
      <c r="I51" t="s">
        <v>108</v>
      </c>
      <c r="J51" t="s">
        <v>78</v>
      </c>
      <c r="K51" t="s">
        <v>79</v>
      </c>
      <c r="L51" t="s">
        <v>555</v>
      </c>
      <c r="M51" t="s">
        <v>556</v>
      </c>
      <c r="N51" t="s">
        <v>557</v>
      </c>
      <c r="O51" t="s">
        <v>605</v>
      </c>
      <c r="P51" t="s">
        <v>606</v>
      </c>
      <c r="Q51" t="s">
        <v>607</v>
      </c>
      <c r="R51" t="s">
        <v>608</v>
      </c>
      <c r="S51" t="s">
        <v>608</v>
      </c>
      <c r="T51" t="s">
        <v>607</v>
      </c>
      <c r="U51" t="s">
        <v>609</v>
      </c>
      <c r="V51" t="s">
        <v>610</v>
      </c>
      <c r="W51" t="s">
        <v>611</v>
      </c>
      <c r="X51" t="s">
        <v>612</v>
      </c>
      <c r="Y51" t="s">
        <v>613</v>
      </c>
      <c r="Z51">
        <v>4.1900000000000004</v>
      </c>
      <c r="AA51">
        <v>4.1900000000000004</v>
      </c>
      <c r="AB51" t="s">
        <v>613</v>
      </c>
      <c r="AC51" t="s">
        <v>614</v>
      </c>
      <c r="AD51" t="s">
        <v>615</v>
      </c>
      <c r="AE51" t="s">
        <v>616</v>
      </c>
      <c r="AF51" t="s">
        <v>617</v>
      </c>
      <c r="AG51" t="s">
        <v>618</v>
      </c>
      <c r="AH51" t="s">
        <v>619</v>
      </c>
      <c r="AI51" t="s">
        <v>619</v>
      </c>
      <c r="AJ51" t="s">
        <v>618</v>
      </c>
      <c r="AK51" t="s">
        <v>620</v>
      </c>
      <c r="AL51" t="s">
        <v>621</v>
      </c>
      <c r="AM51" t="s">
        <v>555</v>
      </c>
    </row>
    <row r="52" spans="1:39" x14ac:dyDescent="0.35">
      <c r="A52" t="s">
        <v>39</v>
      </c>
      <c r="B52" t="s">
        <v>622</v>
      </c>
      <c r="C52">
        <v>314301</v>
      </c>
      <c r="D52" t="s">
        <v>72</v>
      </c>
      <c r="E52" t="s">
        <v>623</v>
      </c>
      <c r="F52" t="s">
        <v>568</v>
      </c>
      <c r="G52" t="s">
        <v>554</v>
      </c>
      <c r="H52" t="s">
        <v>45</v>
      </c>
      <c r="I52" t="s">
        <v>108</v>
      </c>
      <c r="J52" t="s">
        <v>78</v>
      </c>
      <c r="K52" t="s">
        <v>79</v>
      </c>
      <c r="L52" t="s">
        <v>555</v>
      </c>
      <c r="M52" t="s">
        <v>556</v>
      </c>
      <c r="N52" t="s">
        <v>557</v>
      </c>
      <c r="O52" t="s">
        <v>52</v>
      </c>
      <c r="P52" t="s">
        <v>52</v>
      </c>
      <c r="Q52" t="s">
        <v>52</v>
      </c>
      <c r="R52" t="s">
        <v>52</v>
      </c>
      <c r="S52" t="s">
        <v>52</v>
      </c>
      <c r="T52" t="s">
        <v>52</v>
      </c>
      <c r="U52" t="s">
        <v>52</v>
      </c>
      <c r="V52" t="s">
        <v>52</v>
      </c>
      <c r="W52" t="s">
        <v>52</v>
      </c>
      <c r="X52" t="s">
        <v>52</v>
      </c>
      <c r="Y52" t="s">
        <v>52</v>
      </c>
      <c r="Z52">
        <v>0</v>
      </c>
      <c r="AA52">
        <v>0</v>
      </c>
      <c r="AB52" t="s">
        <v>52</v>
      </c>
      <c r="AC52" t="s">
        <v>52</v>
      </c>
      <c r="AD52" t="s">
        <v>52</v>
      </c>
      <c r="AE52" t="s">
        <v>52</v>
      </c>
      <c r="AF52" t="s">
        <v>52</v>
      </c>
      <c r="AG52" t="s">
        <v>52</v>
      </c>
      <c r="AH52" t="s">
        <v>52</v>
      </c>
      <c r="AI52" t="s">
        <v>52</v>
      </c>
      <c r="AJ52" t="s">
        <v>52</v>
      </c>
      <c r="AK52" t="s">
        <v>52</v>
      </c>
      <c r="AL52" t="s">
        <v>52</v>
      </c>
      <c r="AM52" t="s">
        <v>555</v>
      </c>
    </row>
    <row r="53" spans="1:39" x14ac:dyDescent="0.35">
      <c r="A53" t="s">
        <v>39</v>
      </c>
      <c r="B53" t="s">
        <v>624</v>
      </c>
      <c r="C53">
        <v>314302</v>
      </c>
      <c r="D53" t="s">
        <v>72</v>
      </c>
      <c r="E53" t="s">
        <v>625</v>
      </c>
      <c r="F53" t="s">
        <v>568</v>
      </c>
      <c r="G53" t="s">
        <v>554</v>
      </c>
      <c r="H53" t="s">
        <v>45</v>
      </c>
      <c r="I53" t="s">
        <v>108</v>
      </c>
      <c r="J53" t="s">
        <v>78</v>
      </c>
      <c r="K53" t="s">
        <v>79</v>
      </c>
      <c r="L53" t="s">
        <v>555</v>
      </c>
      <c r="M53" t="s">
        <v>556</v>
      </c>
      <c r="N53" t="s">
        <v>557</v>
      </c>
      <c r="O53" t="s">
        <v>626</v>
      </c>
      <c r="P53" t="s">
        <v>627</v>
      </c>
      <c r="Q53" t="s">
        <v>628</v>
      </c>
      <c r="R53" t="s">
        <v>629</v>
      </c>
      <c r="S53" t="s">
        <v>629</v>
      </c>
      <c r="T53" t="s">
        <v>627</v>
      </c>
      <c r="U53" t="s">
        <v>630</v>
      </c>
      <c r="V53" t="s">
        <v>631</v>
      </c>
      <c r="W53" t="s">
        <v>632</v>
      </c>
      <c r="X53" t="s">
        <v>633</v>
      </c>
      <c r="Y53" t="s">
        <v>634</v>
      </c>
      <c r="Z53">
        <v>2.73</v>
      </c>
      <c r="AA53">
        <v>2.73</v>
      </c>
      <c r="AB53" t="s">
        <v>633</v>
      </c>
      <c r="AC53" t="s">
        <v>633</v>
      </c>
      <c r="AD53" t="s">
        <v>347</v>
      </c>
      <c r="AE53" t="s">
        <v>635</v>
      </c>
      <c r="AF53" t="s">
        <v>636</v>
      </c>
      <c r="AG53" t="s">
        <v>637</v>
      </c>
      <c r="AH53" t="s">
        <v>638</v>
      </c>
      <c r="AI53" t="s">
        <v>638</v>
      </c>
      <c r="AJ53" t="s">
        <v>636</v>
      </c>
      <c r="AK53" t="s">
        <v>639</v>
      </c>
      <c r="AL53" t="s">
        <v>640</v>
      </c>
      <c r="AM53" t="s">
        <v>555</v>
      </c>
    </row>
    <row r="54" spans="1:39" x14ac:dyDescent="0.35">
      <c r="A54" t="s">
        <v>39</v>
      </c>
      <c r="B54" t="s">
        <v>641</v>
      </c>
      <c r="C54">
        <v>314218</v>
      </c>
      <c r="D54" t="s">
        <v>72</v>
      </c>
      <c r="E54" t="s">
        <v>642</v>
      </c>
      <c r="F54" t="s">
        <v>568</v>
      </c>
      <c r="G54" t="s">
        <v>554</v>
      </c>
      <c r="H54" t="s">
        <v>45</v>
      </c>
      <c r="I54" t="s">
        <v>108</v>
      </c>
      <c r="J54" t="s">
        <v>78</v>
      </c>
      <c r="K54" t="s">
        <v>79</v>
      </c>
      <c r="L54" t="s">
        <v>555</v>
      </c>
      <c r="M54" t="s">
        <v>556</v>
      </c>
      <c r="N54" t="s">
        <v>557</v>
      </c>
      <c r="O54" t="s">
        <v>52</v>
      </c>
      <c r="P54" t="s">
        <v>52</v>
      </c>
      <c r="Q54" t="s">
        <v>52</v>
      </c>
      <c r="R54" t="s">
        <v>52</v>
      </c>
      <c r="S54" t="s">
        <v>52</v>
      </c>
      <c r="T54" t="s">
        <v>52</v>
      </c>
      <c r="U54" t="s">
        <v>52</v>
      </c>
      <c r="V54" t="s">
        <v>52</v>
      </c>
      <c r="W54" t="s">
        <v>52</v>
      </c>
      <c r="X54" t="s">
        <v>52</v>
      </c>
      <c r="Y54" t="s">
        <v>52</v>
      </c>
      <c r="Z54">
        <v>0</v>
      </c>
      <c r="AA54">
        <v>0</v>
      </c>
      <c r="AB54" t="s">
        <v>52</v>
      </c>
      <c r="AC54" t="s">
        <v>52</v>
      </c>
      <c r="AD54" t="s">
        <v>52</v>
      </c>
      <c r="AE54" t="s">
        <v>52</v>
      </c>
      <c r="AF54" t="s">
        <v>52</v>
      </c>
      <c r="AG54" t="s">
        <v>52</v>
      </c>
      <c r="AH54" t="s">
        <v>52</v>
      </c>
      <c r="AI54" t="s">
        <v>52</v>
      </c>
      <c r="AJ54" t="s">
        <v>52</v>
      </c>
      <c r="AK54" t="s">
        <v>52</v>
      </c>
      <c r="AL54" t="s">
        <v>52</v>
      </c>
      <c r="AM54" t="s">
        <v>555</v>
      </c>
    </row>
    <row r="55" spans="1:39" x14ac:dyDescent="0.35">
      <c r="A55" t="s">
        <v>39</v>
      </c>
      <c r="B55" t="s">
        <v>643</v>
      </c>
      <c r="C55">
        <v>314303</v>
      </c>
      <c r="D55" t="s">
        <v>72</v>
      </c>
      <c r="E55" t="s">
        <v>644</v>
      </c>
      <c r="F55" t="s">
        <v>568</v>
      </c>
      <c r="G55" t="s">
        <v>554</v>
      </c>
      <c r="H55" t="s">
        <v>45</v>
      </c>
      <c r="I55" t="s">
        <v>108</v>
      </c>
      <c r="J55" t="s">
        <v>78</v>
      </c>
      <c r="K55" t="s">
        <v>79</v>
      </c>
      <c r="L55" t="s">
        <v>555</v>
      </c>
      <c r="M55" t="s">
        <v>556</v>
      </c>
      <c r="N55" t="s">
        <v>557</v>
      </c>
      <c r="O55" t="s">
        <v>645</v>
      </c>
      <c r="P55" t="s">
        <v>646</v>
      </c>
      <c r="Q55" t="s">
        <v>647</v>
      </c>
      <c r="R55" t="s">
        <v>647</v>
      </c>
      <c r="S55" t="s">
        <v>647</v>
      </c>
      <c r="T55" t="s">
        <v>648</v>
      </c>
      <c r="U55" t="s">
        <v>649</v>
      </c>
      <c r="V55" t="s">
        <v>649</v>
      </c>
      <c r="W55" t="s">
        <v>650</v>
      </c>
      <c r="X55" t="s">
        <v>651</v>
      </c>
      <c r="Y55" t="s">
        <v>652</v>
      </c>
      <c r="Z55">
        <v>0.84</v>
      </c>
      <c r="AA55">
        <v>0.84</v>
      </c>
      <c r="AB55" t="s">
        <v>653</v>
      </c>
      <c r="AC55" t="s">
        <v>654</v>
      </c>
      <c r="AD55" t="s">
        <v>654</v>
      </c>
      <c r="AE55" t="s">
        <v>655</v>
      </c>
      <c r="AF55" t="s">
        <v>656</v>
      </c>
      <c r="AG55" t="s">
        <v>657</v>
      </c>
      <c r="AH55" t="s">
        <v>657</v>
      </c>
      <c r="AI55" t="s">
        <v>657</v>
      </c>
      <c r="AJ55" t="s">
        <v>658</v>
      </c>
      <c r="AK55" t="s">
        <v>659</v>
      </c>
      <c r="AL55" t="s">
        <v>659</v>
      </c>
      <c r="AM55" t="s">
        <v>555</v>
      </c>
    </row>
    <row r="56" spans="1:39" x14ac:dyDescent="0.35">
      <c r="A56" t="s">
        <v>39</v>
      </c>
      <c r="B56" t="s">
        <v>660</v>
      </c>
      <c r="C56">
        <v>314221</v>
      </c>
      <c r="D56" t="s">
        <v>72</v>
      </c>
      <c r="E56" t="s">
        <v>661</v>
      </c>
      <c r="F56" t="s">
        <v>568</v>
      </c>
      <c r="G56" t="s">
        <v>554</v>
      </c>
      <c r="H56" t="s">
        <v>45</v>
      </c>
      <c r="I56" t="s">
        <v>108</v>
      </c>
      <c r="J56" t="s">
        <v>78</v>
      </c>
      <c r="K56" t="s">
        <v>79</v>
      </c>
      <c r="L56" t="s">
        <v>555</v>
      </c>
      <c r="M56" t="s">
        <v>556</v>
      </c>
      <c r="N56" t="s">
        <v>557</v>
      </c>
      <c r="O56" t="s">
        <v>52</v>
      </c>
      <c r="P56" t="s">
        <v>52</v>
      </c>
      <c r="Q56" t="s">
        <v>52</v>
      </c>
      <c r="R56" t="s">
        <v>52</v>
      </c>
      <c r="S56" t="s">
        <v>52</v>
      </c>
      <c r="T56" t="s">
        <v>52</v>
      </c>
      <c r="U56" t="s">
        <v>52</v>
      </c>
      <c r="V56" t="s">
        <v>52</v>
      </c>
      <c r="W56" t="s">
        <v>52</v>
      </c>
      <c r="X56" t="s">
        <v>52</v>
      </c>
      <c r="Y56" t="s">
        <v>52</v>
      </c>
      <c r="Z56">
        <v>0</v>
      </c>
      <c r="AA56">
        <v>0</v>
      </c>
      <c r="AB56" t="s">
        <v>52</v>
      </c>
      <c r="AC56" t="s">
        <v>52</v>
      </c>
      <c r="AD56" t="s">
        <v>52</v>
      </c>
      <c r="AE56" t="s">
        <v>52</v>
      </c>
      <c r="AF56" t="s">
        <v>52</v>
      </c>
      <c r="AG56" t="s">
        <v>52</v>
      </c>
      <c r="AH56" t="s">
        <v>52</v>
      </c>
      <c r="AI56" t="s">
        <v>52</v>
      </c>
      <c r="AJ56" t="s">
        <v>52</v>
      </c>
      <c r="AK56" t="s">
        <v>52</v>
      </c>
      <c r="AL56" t="s">
        <v>52</v>
      </c>
      <c r="AM56" t="s">
        <v>555</v>
      </c>
    </row>
    <row r="57" spans="1:39" x14ac:dyDescent="0.35">
      <c r="A57" t="s">
        <v>39</v>
      </c>
      <c r="B57" t="s">
        <v>662</v>
      </c>
      <c r="C57">
        <v>314193</v>
      </c>
      <c r="D57" t="s">
        <v>72</v>
      </c>
      <c r="E57" t="s">
        <v>663</v>
      </c>
      <c r="F57" t="s">
        <v>281</v>
      </c>
      <c r="G57" t="s">
        <v>554</v>
      </c>
      <c r="H57" t="s">
        <v>45</v>
      </c>
      <c r="I57" t="s">
        <v>108</v>
      </c>
      <c r="J57" t="s">
        <v>78</v>
      </c>
      <c r="K57" t="s">
        <v>79</v>
      </c>
      <c r="L57" t="s">
        <v>555</v>
      </c>
      <c r="M57" t="s">
        <v>556</v>
      </c>
      <c r="N57" t="s">
        <v>557</v>
      </c>
      <c r="O57" t="s">
        <v>664</v>
      </c>
      <c r="P57" t="s">
        <v>665</v>
      </c>
      <c r="Q57" t="s">
        <v>666</v>
      </c>
      <c r="R57" t="s">
        <v>667</v>
      </c>
      <c r="S57" t="s">
        <v>667</v>
      </c>
      <c r="T57" t="s">
        <v>668</v>
      </c>
      <c r="U57" t="s">
        <v>668</v>
      </c>
      <c r="V57" t="s">
        <v>668</v>
      </c>
      <c r="W57" t="s">
        <v>669</v>
      </c>
      <c r="X57" t="s">
        <v>670</v>
      </c>
      <c r="Y57" t="s">
        <v>671</v>
      </c>
      <c r="Z57">
        <v>0.83</v>
      </c>
      <c r="AA57">
        <v>0.83</v>
      </c>
      <c r="AB57" t="s">
        <v>672</v>
      </c>
      <c r="AC57" t="s">
        <v>672</v>
      </c>
      <c r="AD57" t="s">
        <v>672</v>
      </c>
      <c r="AE57" t="s">
        <v>673</v>
      </c>
      <c r="AF57" t="s">
        <v>674</v>
      </c>
      <c r="AG57" t="s">
        <v>675</v>
      </c>
      <c r="AH57" t="s">
        <v>676</v>
      </c>
      <c r="AI57" t="s">
        <v>676</v>
      </c>
      <c r="AJ57" t="s">
        <v>677</v>
      </c>
      <c r="AK57" t="s">
        <v>677</v>
      </c>
      <c r="AL57" t="s">
        <v>677</v>
      </c>
      <c r="AM57" t="s">
        <v>555</v>
      </c>
    </row>
    <row r="58" spans="1:39" x14ac:dyDescent="0.35">
      <c r="A58" t="s">
        <v>39</v>
      </c>
      <c r="B58" t="s">
        <v>678</v>
      </c>
      <c r="C58">
        <v>314195</v>
      </c>
      <c r="D58" t="s">
        <v>72</v>
      </c>
      <c r="E58" t="s">
        <v>679</v>
      </c>
      <c r="F58" t="s">
        <v>281</v>
      </c>
      <c r="G58" t="s">
        <v>554</v>
      </c>
      <c r="H58" t="s">
        <v>45</v>
      </c>
      <c r="I58" t="s">
        <v>108</v>
      </c>
      <c r="J58" t="s">
        <v>78</v>
      </c>
      <c r="K58" t="s">
        <v>79</v>
      </c>
      <c r="L58" t="s">
        <v>555</v>
      </c>
      <c r="M58" t="s">
        <v>556</v>
      </c>
      <c r="N58" t="s">
        <v>557</v>
      </c>
      <c r="O58" t="s">
        <v>680</v>
      </c>
      <c r="P58" t="s">
        <v>656</v>
      </c>
      <c r="Q58" t="s">
        <v>681</v>
      </c>
      <c r="R58" t="s">
        <v>682</v>
      </c>
      <c r="S58" t="s">
        <v>682</v>
      </c>
      <c r="T58" t="s">
        <v>683</v>
      </c>
      <c r="U58" t="s">
        <v>656</v>
      </c>
      <c r="V58" t="s">
        <v>656</v>
      </c>
      <c r="W58" t="s">
        <v>562</v>
      </c>
      <c r="X58" t="s">
        <v>684</v>
      </c>
      <c r="Y58" t="s">
        <v>685</v>
      </c>
      <c r="Z58">
        <v>0.83</v>
      </c>
      <c r="AA58">
        <v>0.83</v>
      </c>
      <c r="AB58" t="s">
        <v>684</v>
      </c>
      <c r="AC58" t="s">
        <v>684</v>
      </c>
      <c r="AD58" t="s">
        <v>684</v>
      </c>
      <c r="AE58" t="s">
        <v>686</v>
      </c>
      <c r="AF58" t="s">
        <v>687</v>
      </c>
      <c r="AG58" t="s">
        <v>688</v>
      </c>
      <c r="AH58" t="s">
        <v>689</v>
      </c>
      <c r="AI58" t="s">
        <v>689</v>
      </c>
      <c r="AJ58" t="s">
        <v>687</v>
      </c>
      <c r="AK58" t="s">
        <v>687</v>
      </c>
      <c r="AL58" t="s">
        <v>687</v>
      </c>
      <c r="AM58" t="s">
        <v>555</v>
      </c>
    </row>
    <row r="59" spans="1:39" x14ac:dyDescent="0.35">
      <c r="A59" t="s">
        <v>39</v>
      </c>
      <c r="B59" t="s">
        <v>690</v>
      </c>
      <c r="C59">
        <v>314202</v>
      </c>
      <c r="D59" t="s">
        <v>72</v>
      </c>
      <c r="E59" t="s">
        <v>691</v>
      </c>
      <c r="F59" t="s">
        <v>692</v>
      </c>
      <c r="G59" t="s">
        <v>554</v>
      </c>
      <c r="H59" t="s">
        <v>45</v>
      </c>
      <c r="I59" t="s">
        <v>108</v>
      </c>
      <c r="J59" t="s">
        <v>78</v>
      </c>
      <c r="K59" t="s">
        <v>79</v>
      </c>
      <c r="L59" t="s">
        <v>555</v>
      </c>
      <c r="M59" t="s">
        <v>556</v>
      </c>
      <c r="N59" t="s">
        <v>557</v>
      </c>
      <c r="O59" t="s">
        <v>693</v>
      </c>
      <c r="P59" t="s">
        <v>694</v>
      </c>
      <c r="Q59" t="s">
        <v>52</v>
      </c>
      <c r="R59" t="s">
        <v>52</v>
      </c>
      <c r="S59" t="s">
        <v>52</v>
      </c>
      <c r="T59" t="s">
        <v>52</v>
      </c>
      <c r="U59" t="s">
        <v>52</v>
      </c>
      <c r="V59" t="s">
        <v>52</v>
      </c>
      <c r="W59" t="s">
        <v>669</v>
      </c>
      <c r="X59" t="s">
        <v>180</v>
      </c>
      <c r="Y59" t="s">
        <v>52</v>
      </c>
      <c r="Z59">
        <v>0</v>
      </c>
      <c r="AA59">
        <v>0</v>
      </c>
      <c r="AB59" t="s">
        <v>52</v>
      </c>
      <c r="AC59" t="s">
        <v>52</v>
      </c>
      <c r="AD59" t="s">
        <v>52</v>
      </c>
      <c r="AE59" t="s">
        <v>695</v>
      </c>
      <c r="AF59" t="s">
        <v>696</v>
      </c>
      <c r="AG59" t="s">
        <v>52</v>
      </c>
      <c r="AH59" t="s">
        <v>52</v>
      </c>
      <c r="AI59" t="s">
        <v>52</v>
      </c>
      <c r="AJ59" t="s">
        <v>52</v>
      </c>
      <c r="AK59" t="s">
        <v>52</v>
      </c>
      <c r="AL59" t="s">
        <v>52</v>
      </c>
      <c r="AM59" t="s">
        <v>555</v>
      </c>
    </row>
    <row r="60" spans="1:39" x14ac:dyDescent="0.35">
      <c r="A60" t="s">
        <v>39</v>
      </c>
      <c r="B60" t="s">
        <v>697</v>
      </c>
      <c r="C60">
        <v>314203</v>
      </c>
      <c r="D60" t="s">
        <v>72</v>
      </c>
      <c r="E60" t="s">
        <v>698</v>
      </c>
      <c r="F60" t="s">
        <v>692</v>
      </c>
      <c r="G60" t="s">
        <v>554</v>
      </c>
      <c r="H60" t="s">
        <v>45</v>
      </c>
      <c r="I60" t="s">
        <v>108</v>
      </c>
      <c r="J60" t="s">
        <v>78</v>
      </c>
      <c r="K60" t="s">
        <v>79</v>
      </c>
      <c r="L60" t="s">
        <v>555</v>
      </c>
      <c r="M60" t="s">
        <v>556</v>
      </c>
      <c r="N60" t="s">
        <v>557</v>
      </c>
      <c r="O60" t="s">
        <v>699</v>
      </c>
      <c r="P60" t="s">
        <v>700</v>
      </c>
      <c r="Q60" t="s">
        <v>701</v>
      </c>
      <c r="R60" t="s">
        <v>702</v>
      </c>
      <c r="S60" t="s">
        <v>702</v>
      </c>
      <c r="T60" t="s">
        <v>52</v>
      </c>
      <c r="U60" t="s">
        <v>52</v>
      </c>
      <c r="V60" t="s">
        <v>52</v>
      </c>
      <c r="W60" t="s">
        <v>325</v>
      </c>
      <c r="X60" t="s">
        <v>703</v>
      </c>
      <c r="Y60" t="s">
        <v>704</v>
      </c>
      <c r="Z60">
        <v>1.17</v>
      </c>
      <c r="AA60">
        <v>1.17</v>
      </c>
      <c r="AB60" t="s">
        <v>52</v>
      </c>
      <c r="AC60" t="s">
        <v>52</v>
      </c>
      <c r="AD60" t="s">
        <v>52</v>
      </c>
      <c r="AE60" t="s">
        <v>705</v>
      </c>
      <c r="AF60" t="s">
        <v>702</v>
      </c>
      <c r="AG60" t="s">
        <v>706</v>
      </c>
      <c r="AH60" t="s">
        <v>707</v>
      </c>
      <c r="AI60" t="s">
        <v>707</v>
      </c>
      <c r="AJ60" t="s">
        <v>52</v>
      </c>
      <c r="AK60" t="s">
        <v>52</v>
      </c>
      <c r="AL60" t="s">
        <v>52</v>
      </c>
      <c r="AM60" t="s">
        <v>555</v>
      </c>
    </row>
    <row r="61" spans="1:39" x14ac:dyDescent="0.35">
      <c r="A61" t="s">
        <v>39</v>
      </c>
      <c r="B61" t="s">
        <v>708</v>
      </c>
      <c r="C61">
        <v>314204</v>
      </c>
      <c r="D61" t="s">
        <v>72</v>
      </c>
      <c r="E61" t="s">
        <v>709</v>
      </c>
      <c r="F61" t="s">
        <v>692</v>
      </c>
      <c r="G61" t="s">
        <v>554</v>
      </c>
      <c r="H61" t="s">
        <v>45</v>
      </c>
      <c r="I61" t="s">
        <v>108</v>
      </c>
      <c r="J61" t="s">
        <v>78</v>
      </c>
      <c r="K61" t="s">
        <v>79</v>
      </c>
      <c r="L61" t="s">
        <v>555</v>
      </c>
      <c r="M61" t="s">
        <v>556</v>
      </c>
      <c r="N61" t="s">
        <v>557</v>
      </c>
      <c r="O61" t="s">
        <v>710</v>
      </c>
      <c r="P61" t="s">
        <v>711</v>
      </c>
      <c r="Q61" t="s">
        <v>52</v>
      </c>
      <c r="R61" t="s">
        <v>52</v>
      </c>
      <c r="S61" t="s">
        <v>52</v>
      </c>
      <c r="T61" t="s">
        <v>52</v>
      </c>
      <c r="U61" t="s">
        <v>52</v>
      </c>
      <c r="V61" t="s">
        <v>52</v>
      </c>
      <c r="W61" t="s">
        <v>712</v>
      </c>
      <c r="X61" t="s">
        <v>713</v>
      </c>
      <c r="Y61" t="s">
        <v>52</v>
      </c>
      <c r="Z61">
        <v>0</v>
      </c>
      <c r="AA61">
        <v>0</v>
      </c>
      <c r="AB61" t="s">
        <v>52</v>
      </c>
      <c r="AC61" t="s">
        <v>52</v>
      </c>
      <c r="AD61" t="s">
        <v>52</v>
      </c>
      <c r="AE61" t="s">
        <v>714</v>
      </c>
      <c r="AF61" t="s">
        <v>715</v>
      </c>
      <c r="AG61" t="s">
        <v>52</v>
      </c>
      <c r="AH61" t="s">
        <v>52</v>
      </c>
      <c r="AI61" t="s">
        <v>52</v>
      </c>
      <c r="AJ61" t="s">
        <v>52</v>
      </c>
      <c r="AK61" t="s">
        <v>52</v>
      </c>
      <c r="AL61" t="s">
        <v>52</v>
      </c>
      <c r="AM61" t="s">
        <v>555</v>
      </c>
    </row>
    <row r="62" spans="1:39" x14ac:dyDescent="0.35">
      <c r="A62" t="s">
        <v>39</v>
      </c>
      <c r="B62" t="s">
        <v>716</v>
      </c>
      <c r="C62">
        <v>314381</v>
      </c>
      <c r="D62" t="s">
        <v>72</v>
      </c>
      <c r="E62" t="s">
        <v>717</v>
      </c>
      <c r="F62" t="s">
        <v>718</v>
      </c>
      <c r="G62" t="s">
        <v>554</v>
      </c>
      <c r="H62" t="s">
        <v>45</v>
      </c>
      <c r="I62" t="s">
        <v>108</v>
      </c>
      <c r="J62" t="s">
        <v>78</v>
      </c>
      <c r="K62" t="s">
        <v>79</v>
      </c>
      <c r="L62" t="s">
        <v>555</v>
      </c>
      <c r="M62" t="s">
        <v>556</v>
      </c>
      <c r="N62" t="s">
        <v>557</v>
      </c>
      <c r="O62" t="s">
        <v>52</v>
      </c>
      <c r="P62" t="s">
        <v>52</v>
      </c>
      <c r="Q62" t="s">
        <v>52</v>
      </c>
      <c r="R62" t="s">
        <v>52</v>
      </c>
      <c r="S62" t="s">
        <v>52</v>
      </c>
      <c r="T62" t="s">
        <v>52</v>
      </c>
      <c r="U62" t="s">
        <v>52</v>
      </c>
      <c r="V62" t="s">
        <v>52</v>
      </c>
      <c r="W62" t="s">
        <v>52</v>
      </c>
      <c r="X62" t="s">
        <v>52</v>
      </c>
      <c r="Y62" t="s">
        <v>52</v>
      </c>
      <c r="Z62">
        <v>0</v>
      </c>
      <c r="AA62">
        <v>0</v>
      </c>
      <c r="AB62" t="s">
        <v>52</v>
      </c>
      <c r="AC62" t="s">
        <v>52</v>
      </c>
      <c r="AD62" t="s">
        <v>52</v>
      </c>
      <c r="AE62" t="s">
        <v>52</v>
      </c>
      <c r="AF62" t="s">
        <v>52</v>
      </c>
      <c r="AG62" t="s">
        <v>52</v>
      </c>
      <c r="AH62" t="s">
        <v>52</v>
      </c>
      <c r="AI62" t="s">
        <v>52</v>
      </c>
      <c r="AJ62" t="s">
        <v>52</v>
      </c>
      <c r="AK62" t="s">
        <v>52</v>
      </c>
      <c r="AL62" t="s">
        <v>52</v>
      </c>
      <c r="AM62" t="s">
        <v>555</v>
      </c>
    </row>
    <row r="63" spans="1:39" x14ac:dyDescent="0.35">
      <c r="A63" t="s">
        <v>39</v>
      </c>
      <c r="B63" t="s">
        <v>719</v>
      </c>
      <c r="C63">
        <v>314032</v>
      </c>
      <c r="D63" t="s">
        <v>72</v>
      </c>
      <c r="E63" t="s">
        <v>720</v>
      </c>
      <c r="F63" t="s">
        <v>721</v>
      </c>
      <c r="G63" t="s">
        <v>554</v>
      </c>
      <c r="H63" t="s">
        <v>45</v>
      </c>
      <c r="I63" t="s">
        <v>108</v>
      </c>
      <c r="J63" t="s">
        <v>78</v>
      </c>
      <c r="K63" t="s">
        <v>79</v>
      </c>
      <c r="L63" t="s">
        <v>555</v>
      </c>
      <c r="M63" t="s">
        <v>556</v>
      </c>
      <c r="N63" t="s">
        <v>557</v>
      </c>
      <c r="O63" t="s">
        <v>722</v>
      </c>
      <c r="P63" t="s">
        <v>723</v>
      </c>
      <c r="Q63" t="s">
        <v>724</v>
      </c>
      <c r="R63" t="s">
        <v>725</v>
      </c>
      <c r="S63" t="s">
        <v>725</v>
      </c>
      <c r="T63" t="s">
        <v>726</v>
      </c>
      <c r="U63" t="s">
        <v>726</v>
      </c>
      <c r="V63" t="s">
        <v>726</v>
      </c>
      <c r="W63" t="s">
        <v>727</v>
      </c>
      <c r="X63" t="s">
        <v>728</v>
      </c>
      <c r="Y63" t="s">
        <v>729</v>
      </c>
      <c r="Z63">
        <v>6.29</v>
      </c>
      <c r="AA63">
        <v>6.29</v>
      </c>
      <c r="AB63" t="s">
        <v>730</v>
      </c>
      <c r="AC63" t="s">
        <v>730</v>
      </c>
      <c r="AD63" t="s">
        <v>730</v>
      </c>
      <c r="AE63" t="s">
        <v>731</v>
      </c>
      <c r="AF63" t="s">
        <v>732</v>
      </c>
      <c r="AG63" t="s">
        <v>733</v>
      </c>
      <c r="AH63" t="s">
        <v>734</v>
      </c>
      <c r="AI63" t="s">
        <v>734</v>
      </c>
      <c r="AJ63" t="s">
        <v>735</v>
      </c>
      <c r="AK63" t="s">
        <v>735</v>
      </c>
      <c r="AL63" t="s">
        <v>735</v>
      </c>
      <c r="AM63" t="s">
        <v>555</v>
      </c>
    </row>
    <row r="64" spans="1:39" x14ac:dyDescent="0.35">
      <c r="A64" t="s">
        <v>39</v>
      </c>
      <c r="B64" t="s">
        <v>736</v>
      </c>
      <c r="C64">
        <v>314031</v>
      </c>
      <c r="D64" t="s">
        <v>72</v>
      </c>
      <c r="E64" t="s">
        <v>737</v>
      </c>
      <c r="F64" t="s">
        <v>721</v>
      </c>
      <c r="G64" t="s">
        <v>554</v>
      </c>
      <c r="H64" t="s">
        <v>45</v>
      </c>
      <c r="I64" t="s">
        <v>108</v>
      </c>
      <c r="J64" t="s">
        <v>78</v>
      </c>
      <c r="K64" t="s">
        <v>79</v>
      </c>
      <c r="L64" t="s">
        <v>555</v>
      </c>
      <c r="M64" t="s">
        <v>556</v>
      </c>
      <c r="N64" t="s">
        <v>557</v>
      </c>
      <c r="O64" t="s">
        <v>738</v>
      </c>
      <c r="P64" t="s">
        <v>739</v>
      </c>
      <c r="Q64" t="s">
        <v>740</v>
      </c>
      <c r="R64" t="s">
        <v>741</v>
      </c>
      <c r="S64" t="s">
        <v>741</v>
      </c>
      <c r="T64" t="s">
        <v>742</v>
      </c>
      <c r="U64" t="s">
        <v>742</v>
      </c>
      <c r="V64" t="s">
        <v>742</v>
      </c>
      <c r="W64" t="s">
        <v>743</v>
      </c>
      <c r="X64" t="s">
        <v>743</v>
      </c>
      <c r="Y64" t="s">
        <v>743</v>
      </c>
      <c r="Z64">
        <v>3</v>
      </c>
      <c r="AA64">
        <v>3</v>
      </c>
      <c r="AB64" t="s">
        <v>744</v>
      </c>
      <c r="AC64" t="s">
        <v>744</v>
      </c>
      <c r="AD64" t="s">
        <v>744</v>
      </c>
      <c r="AE64" t="s">
        <v>745</v>
      </c>
      <c r="AF64" t="s">
        <v>746</v>
      </c>
      <c r="AG64" t="s">
        <v>747</v>
      </c>
      <c r="AH64" t="s">
        <v>748</v>
      </c>
      <c r="AI64" t="s">
        <v>748</v>
      </c>
      <c r="AJ64" t="s">
        <v>749</v>
      </c>
      <c r="AK64" t="s">
        <v>749</v>
      </c>
      <c r="AL64" t="s">
        <v>749</v>
      </c>
      <c r="AM64" t="s">
        <v>555</v>
      </c>
    </row>
    <row r="65" spans="1:39" x14ac:dyDescent="0.35">
      <c r="A65" t="s">
        <v>39</v>
      </c>
      <c r="B65" t="s">
        <v>750</v>
      </c>
      <c r="C65">
        <v>316081</v>
      </c>
      <c r="D65" t="s">
        <v>72</v>
      </c>
      <c r="E65" t="s">
        <v>751</v>
      </c>
      <c r="F65" t="s">
        <v>752</v>
      </c>
      <c r="G65" t="s">
        <v>554</v>
      </c>
      <c r="H65" t="s">
        <v>45</v>
      </c>
      <c r="I65" t="s">
        <v>108</v>
      </c>
      <c r="J65" t="s">
        <v>78</v>
      </c>
      <c r="K65" t="s">
        <v>79</v>
      </c>
      <c r="L65" t="s">
        <v>555</v>
      </c>
      <c r="M65" t="s">
        <v>556</v>
      </c>
      <c r="N65" t="s">
        <v>557</v>
      </c>
      <c r="O65" t="s">
        <v>753</v>
      </c>
      <c r="P65" t="s">
        <v>754</v>
      </c>
      <c r="Q65" t="s">
        <v>755</v>
      </c>
      <c r="R65" t="s">
        <v>756</v>
      </c>
      <c r="S65" t="s">
        <v>756</v>
      </c>
      <c r="T65" t="s">
        <v>757</v>
      </c>
      <c r="U65" t="s">
        <v>757</v>
      </c>
      <c r="V65" t="s">
        <v>757</v>
      </c>
      <c r="W65" t="s">
        <v>758</v>
      </c>
      <c r="X65" t="s">
        <v>759</v>
      </c>
      <c r="Y65" t="s">
        <v>760</v>
      </c>
      <c r="Z65">
        <v>0.38</v>
      </c>
      <c r="AA65">
        <v>0.38</v>
      </c>
      <c r="AB65" t="s">
        <v>759</v>
      </c>
      <c r="AC65" t="s">
        <v>759</v>
      </c>
      <c r="AD65" t="s">
        <v>759</v>
      </c>
      <c r="AE65" t="s">
        <v>761</v>
      </c>
      <c r="AF65" t="s">
        <v>762</v>
      </c>
      <c r="AG65" t="s">
        <v>763</v>
      </c>
      <c r="AH65" t="s">
        <v>764</v>
      </c>
      <c r="AI65" t="s">
        <v>764</v>
      </c>
      <c r="AJ65" t="s">
        <v>765</v>
      </c>
      <c r="AK65" t="s">
        <v>765</v>
      </c>
      <c r="AL65" t="s">
        <v>765</v>
      </c>
      <c r="AM65" t="s">
        <v>555</v>
      </c>
    </row>
    <row r="66" spans="1:39" x14ac:dyDescent="0.35">
      <c r="A66" t="s">
        <v>39</v>
      </c>
      <c r="B66" t="s">
        <v>766</v>
      </c>
      <c r="C66">
        <v>316082</v>
      </c>
      <c r="D66" t="s">
        <v>72</v>
      </c>
      <c r="E66" t="s">
        <v>767</v>
      </c>
      <c r="F66" t="s">
        <v>752</v>
      </c>
      <c r="G66" t="s">
        <v>554</v>
      </c>
      <c r="H66" t="s">
        <v>45</v>
      </c>
      <c r="I66" t="s">
        <v>108</v>
      </c>
      <c r="J66" t="s">
        <v>78</v>
      </c>
      <c r="K66" t="s">
        <v>79</v>
      </c>
      <c r="L66" t="s">
        <v>555</v>
      </c>
      <c r="M66" t="s">
        <v>556</v>
      </c>
      <c r="N66" t="s">
        <v>557</v>
      </c>
      <c r="O66" t="s">
        <v>768</v>
      </c>
      <c r="P66" t="s">
        <v>769</v>
      </c>
      <c r="Q66" t="s">
        <v>770</v>
      </c>
      <c r="R66" t="s">
        <v>771</v>
      </c>
      <c r="S66" t="s">
        <v>771</v>
      </c>
      <c r="T66" t="s">
        <v>772</v>
      </c>
      <c r="U66" t="s">
        <v>769</v>
      </c>
      <c r="V66" t="s">
        <v>772</v>
      </c>
      <c r="W66" t="s">
        <v>773</v>
      </c>
      <c r="X66" t="s">
        <v>310</v>
      </c>
      <c r="Y66" t="s">
        <v>685</v>
      </c>
      <c r="Z66">
        <v>0.94</v>
      </c>
      <c r="AA66">
        <v>0.94</v>
      </c>
      <c r="AB66" t="s">
        <v>336</v>
      </c>
      <c r="AC66" t="s">
        <v>310</v>
      </c>
      <c r="AD66" t="s">
        <v>336</v>
      </c>
      <c r="AE66" t="s">
        <v>774</v>
      </c>
      <c r="AF66" t="s">
        <v>775</v>
      </c>
      <c r="AG66" t="s">
        <v>776</v>
      </c>
      <c r="AH66" t="s">
        <v>777</v>
      </c>
      <c r="AI66" t="s">
        <v>777</v>
      </c>
      <c r="AJ66" t="s">
        <v>778</v>
      </c>
      <c r="AK66" t="s">
        <v>775</v>
      </c>
      <c r="AL66" t="s">
        <v>778</v>
      </c>
      <c r="AM66" t="s">
        <v>555</v>
      </c>
    </row>
    <row r="67" spans="1:39" x14ac:dyDescent="0.35">
      <c r="A67" t="s">
        <v>39</v>
      </c>
      <c r="B67" t="s">
        <v>779</v>
      </c>
      <c r="C67">
        <v>316080</v>
      </c>
      <c r="D67" t="s">
        <v>72</v>
      </c>
      <c r="E67" t="s">
        <v>780</v>
      </c>
      <c r="F67" t="s">
        <v>752</v>
      </c>
      <c r="G67" t="s">
        <v>554</v>
      </c>
      <c r="H67" t="s">
        <v>45</v>
      </c>
      <c r="I67" t="s">
        <v>108</v>
      </c>
      <c r="J67" t="s">
        <v>78</v>
      </c>
      <c r="K67" t="s">
        <v>79</v>
      </c>
      <c r="L67" t="s">
        <v>555</v>
      </c>
      <c r="M67" t="s">
        <v>556</v>
      </c>
      <c r="N67" t="s">
        <v>557</v>
      </c>
      <c r="O67" t="s">
        <v>781</v>
      </c>
      <c r="P67" t="s">
        <v>782</v>
      </c>
      <c r="Q67" t="s">
        <v>782</v>
      </c>
      <c r="R67" t="s">
        <v>783</v>
      </c>
      <c r="S67" t="s">
        <v>783</v>
      </c>
      <c r="T67" t="s">
        <v>784</v>
      </c>
      <c r="U67" t="s">
        <v>784</v>
      </c>
      <c r="V67" t="s">
        <v>784</v>
      </c>
      <c r="W67" t="s">
        <v>785</v>
      </c>
      <c r="X67" t="s">
        <v>786</v>
      </c>
      <c r="Y67" t="s">
        <v>786</v>
      </c>
      <c r="Z67">
        <v>1.46</v>
      </c>
      <c r="AA67">
        <v>1.46</v>
      </c>
      <c r="AB67" t="s">
        <v>787</v>
      </c>
      <c r="AC67" t="s">
        <v>787</v>
      </c>
      <c r="AD67" t="s">
        <v>787</v>
      </c>
      <c r="AE67" t="s">
        <v>788</v>
      </c>
      <c r="AF67" t="s">
        <v>789</v>
      </c>
      <c r="AG67" t="s">
        <v>789</v>
      </c>
      <c r="AH67" t="s">
        <v>790</v>
      </c>
      <c r="AI67" t="s">
        <v>790</v>
      </c>
      <c r="AJ67" t="s">
        <v>791</v>
      </c>
      <c r="AK67" t="s">
        <v>791</v>
      </c>
      <c r="AL67" t="s">
        <v>791</v>
      </c>
      <c r="AM67" t="s">
        <v>555</v>
      </c>
    </row>
    <row r="68" spans="1:39" x14ac:dyDescent="0.35">
      <c r="A68" t="s">
        <v>39</v>
      </c>
      <c r="B68" t="s">
        <v>792</v>
      </c>
      <c r="C68">
        <v>330594</v>
      </c>
      <c r="D68" t="s">
        <v>72</v>
      </c>
      <c r="E68" t="s">
        <v>793</v>
      </c>
      <c r="F68" t="s">
        <v>215</v>
      </c>
      <c r="G68" t="s">
        <v>44</v>
      </c>
      <c r="H68" t="s">
        <v>45</v>
      </c>
      <c r="I68" t="s">
        <v>108</v>
      </c>
      <c r="J68" t="s">
        <v>47</v>
      </c>
      <c r="K68" t="s">
        <v>79</v>
      </c>
      <c r="L68" t="s">
        <v>555</v>
      </c>
      <c r="M68" t="s">
        <v>794</v>
      </c>
      <c r="N68" t="s">
        <v>51</v>
      </c>
      <c r="O68" t="s">
        <v>795</v>
      </c>
      <c r="P68" t="s">
        <v>796</v>
      </c>
      <c r="Q68" t="s">
        <v>797</v>
      </c>
      <c r="R68" t="s">
        <v>798</v>
      </c>
      <c r="S68" t="s">
        <v>798</v>
      </c>
      <c r="T68" t="s">
        <v>797</v>
      </c>
      <c r="U68" t="s">
        <v>52</v>
      </c>
      <c r="V68" t="s">
        <v>52</v>
      </c>
      <c r="W68" t="s">
        <v>799</v>
      </c>
      <c r="X68" t="s">
        <v>800</v>
      </c>
      <c r="Y68" t="s">
        <v>801</v>
      </c>
      <c r="Z68">
        <v>1.36</v>
      </c>
      <c r="AA68">
        <v>1.36</v>
      </c>
      <c r="AB68" t="s">
        <v>801</v>
      </c>
      <c r="AC68" t="s">
        <v>52</v>
      </c>
      <c r="AD68" t="s">
        <v>52</v>
      </c>
      <c r="AE68" t="s">
        <v>802</v>
      </c>
      <c r="AF68" t="s">
        <v>803</v>
      </c>
      <c r="AG68" t="s">
        <v>804</v>
      </c>
      <c r="AH68" t="s">
        <v>805</v>
      </c>
      <c r="AI68" t="s">
        <v>805</v>
      </c>
      <c r="AJ68" t="s">
        <v>804</v>
      </c>
      <c r="AK68" t="s">
        <v>52</v>
      </c>
      <c r="AL68" t="s">
        <v>52</v>
      </c>
      <c r="AM68" t="s">
        <v>555</v>
      </c>
    </row>
    <row r="69" spans="1:39" x14ac:dyDescent="0.35">
      <c r="A69" t="s">
        <v>39</v>
      </c>
      <c r="B69" t="s">
        <v>806</v>
      </c>
      <c r="C69">
        <v>310271</v>
      </c>
      <c r="D69" t="s">
        <v>72</v>
      </c>
      <c r="E69" t="s">
        <v>807</v>
      </c>
      <c r="F69" t="s">
        <v>215</v>
      </c>
      <c r="G69" t="s">
        <v>44</v>
      </c>
      <c r="H69" t="s">
        <v>45</v>
      </c>
      <c r="I69" t="s">
        <v>108</v>
      </c>
      <c r="J69" t="s">
        <v>47</v>
      </c>
      <c r="K69" t="s">
        <v>79</v>
      </c>
      <c r="L69" t="s">
        <v>555</v>
      </c>
      <c r="M69" t="s">
        <v>808</v>
      </c>
      <c r="N69" t="s">
        <v>51</v>
      </c>
      <c r="O69" t="s">
        <v>809</v>
      </c>
      <c r="P69" t="s">
        <v>810</v>
      </c>
      <c r="Q69" t="s">
        <v>811</v>
      </c>
      <c r="R69" t="s">
        <v>812</v>
      </c>
      <c r="S69" t="s">
        <v>813</v>
      </c>
      <c r="T69" t="s">
        <v>810</v>
      </c>
      <c r="U69" t="s">
        <v>810</v>
      </c>
      <c r="V69" t="s">
        <v>814</v>
      </c>
      <c r="W69" t="s">
        <v>815</v>
      </c>
      <c r="X69" t="s">
        <v>816</v>
      </c>
      <c r="Y69" t="s">
        <v>817</v>
      </c>
      <c r="Z69">
        <v>39.729999999999997</v>
      </c>
      <c r="AA69">
        <v>54.19</v>
      </c>
      <c r="AB69" t="s">
        <v>816</v>
      </c>
      <c r="AC69" t="s">
        <v>816</v>
      </c>
      <c r="AD69" t="s">
        <v>818</v>
      </c>
      <c r="AE69" t="s">
        <v>819</v>
      </c>
      <c r="AF69" t="s">
        <v>820</v>
      </c>
      <c r="AG69" t="s">
        <v>821</v>
      </c>
      <c r="AH69" t="s">
        <v>822</v>
      </c>
      <c r="AI69" t="s">
        <v>823</v>
      </c>
      <c r="AJ69" t="s">
        <v>820</v>
      </c>
      <c r="AK69" t="s">
        <v>820</v>
      </c>
      <c r="AL69" t="s">
        <v>824</v>
      </c>
      <c r="AM69" t="s">
        <v>555</v>
      </c>
    </row>
    <row r="70" spans="1:39" x14ac:dyDescent="0.35">
      <c r="A70" t="s">
        <v>39</v>
      </c>
      <c r="B70" t="s">
        <v>825</v>
      </c>
      <c r="C70">
        <v>407895</v>
      </c>
      <c r="D70" t="s">
        <v>72</v>
      </c>
      <c r="E70" t="s">
        <v>826</v>
      </c>
      <c r="F70" t="s">
        <v>215</v>
      </c>
      <c r="G70" t="s">
        <v>44</v>
      </c>
      <c r="H70" t="s">
        <v>45</v>
      </c>
      <c r="I70" t="s">
        <v>108</v>
      </c>
      <c r="J70" t="s">
        <v>47</v>
      </c>
      <c r="K70" t="s">
        <v>79</v>
      </c>
      <c r="L70" t="s">
        <v>555</v>
      </c>
      <c r="M70" t="s">
        <v>827</v>
      </c>
      <c r="N70" t="s">
        <v>51</v>
      </c>
      <c r="O70" t="s">
        <v>828</v>
      </c>
      <c r="P70" t="s">
        <v>247</v>
      </c>
      <c r="Q70" t="s">
        <v>829</v>
      </c>
      <c r="R70" t="s">
        <v>830</v>
      </c>
      <c r="S70" t="s">
        <v>831</v>
      </c>
      <c r="T70" t="s">
        <v>52</v>
      </c>
      <c r="U70" t="s">
        <v>829</v>
      </c>
      <c r="V70" t="s">
        <v>829</v>
      </c>
      <c r="W70" t="s">
        <v>832</v>
      </c>
      <c r="X70" t="s">
        <v>833</v>
      </c>
      <c r="Y70" t="s">
        <v>834</v>
      </c>
      <c r="Z70">
        <v>8.67</v>
      </c>
      <c r="AA70">
        <v>10.83</v>
      </c>
      <c r="AB70" t="s">
        <v>52</v>
      </c>
      <c r="AC70" t="s">
        <v>834</v>
      </c>
      <c r="AD70" t="s">
        <v>834</v>
      </c>
      <c r="AE70" t="s">
        <v>835</v>
      </c>
      <c r="AF70" t="s">
        <v>836</v>
      </c>
      <c r="AG70" t="s">
        <v>837</v>
      </c>
      <c r="AH70" t="s">
        <v>838</v>
      </c>
      <c r="AI70" t="s">
        <v>839</v>
      </c>
      <c r="AJ70" t="s">
        <v>52</v>
      </c>
      <c r="AK70" t="s">
        <v>840</v>
      </c>
      <c r="AL70" t="s">
        <v>840</v>
      </c>
      <c r="AM70" t="s">
        <v>555</v>
      </c>
    </row>
    <row r="71" spans="1:39" x14ac:dyDescent="0.35">
      <c r="A71" t="s">
        <v>39</v>
      </c>
      <c r="B71" t="s">
        <v>841</v>
      </c>
      <c r="C71">
        <v>407893</v>
      </c>
      <c r="D71" t="s">
        <v>72</v>
      </c>
      <c r="E71" t="s">
        <v>842</v>
      </c>
      <c r="F71" t="s">
        <v>215</v>
      </c>
      <c r="G71" t="s">
        <v>44</v>
      </c>
      <c r="H71" t="s">
        <v>45</v>
      </c>
      <c r="I71" t="s">
        <v>108</v>
      </c>
      <c r="J71" t="s">
        <v>47</v>
      </c>
      <c r="K71" t="s">
        <v>79</v>
      </c>
      <c r="L71" t="s">
        <v>555</v>
      </c>
      <c r="M71" t="s">
        <v>827</v>
      </c>
      <c r="N71" t="s">
        <v>51</v>
      </c>
      <c r="O71" t="s">
        <v>843</v>
      </c>
      <c r="P71" t="s">
        <v>52</v>
      </c>
      <c r="Q71" t="s">
        <v>52</v>
      </c>
      <c r="R71" t="s">
        <v>52</v>
      </c>
      <c r="S71" t="s">
        <v>52</v>
      </c>
      <c r="T71" t="s">
        <v>52</v>
      </c>
      <c r="U71" t="s">
        <v>52</v>
      </c>
      <c r="V71" t="s">
        <v>52</v>
      </c>
      <c r="W71" t="s">
        <v>844</v>
      </c>
      <c r="X71" t="s">
        <v>52</v>
      </c>
      <c r="Y71" t="s">
        <v>52</v>
      </c>
      <c r="Z71">
        <v>0</v>
      </c>
      <c r="AA71">
        <v>0</v>
      </c>
      <c r="AB71" t="s">
        <v>52</v>
      </c>
      <c r="AC71" t="s">
        <v>52</v>
      </c>
      <c r="AD71" t="s">
        <v>52</v>
      </c>
      <c r="AE71" t="s">
        <v>845</v>
      </c>
      <c r="AF71" t="s">
        <v>52</v>
      </c>
      <c r="AG71" t="s">
        <v>52</v>
      </c>
      <c r="AH71" t="s">
        <v>52</v>
      </c>
      <c r="AI71" t="s">
        <v>52</v>
      </c>
      <c r="AJ71" t="s">
        <v>52</v>
      </c>
      <c r="AK71" t="s">
        <v>52</v>
      </c>
      <c r="AL71" t="s">
        <v>52</v>
      </c>
      <c r="AM71" t="s">
        <v>555</v>
      </c>
    </row>
    <row r="72" spans="1:39" x14ac:dyDescent="0.35">
      <c r="A72" t="s">
        <v>39</v>
      </c>
      <c r="B72" t="s">
        <v>846</v>
      </c>
      <c r="C72">
        <v>348337</v>
      </c>
      <c r="D72" t="s">
        <v>72</v>
      </c>
      <c r="E72" t="s">
        <v>847</v>
      </c>
      <c r="F72" t="s">
        <v>215</v>
      </c>
      <c r="G72" t="s">
        <v>44</v>
      </c>
      <c r="H72" t="s">
        <v>45</v>
      </c>
      <c r="I72" t="s">
        <v>108</v>
      </c>
      <c r="J72" t="s">
        <v>47</v>
      </c>
      <c r="K72" t="s">
        <v>79</v>
      </c>
      <c r="L72" t="s">
        <v>555</v>
      </c>
      <c r="M72" t="s">
        <v>848</v>
      </c>
      <c r="N72" t="s">
        <v>51</v>
      </c>
      <c r="O72" t="s">
        <v>52</v>
      </c>
      <c r="P72" t="s">
        <v>52</v>
      </c>
      <c r="Q72" t="s">
        <v>52</v>
      </c>
      <c r="R72" t="s">
        <v>52</v>
      </c>
      <c r="S72" t="s">
        <v>52</v>
      </c>
      <c r="T72" t="s">
        <v>52</v>
      </c>
      <c r="U72" t="s">
        <v>52</v>
      </c>
      <c r="V72" t="s">
        <v>52</v>
      </c>
      <c r="W72" t="s">
        <v>52</v>
      </c>
      <c r="X72" t="s">
        <v>52</v>
      </c>
      <c r="Y72" t="s">
        <v>52</v>
      </c>
      <c r="Z72">
        <v>0</v>
      </c>
      <c r="AA72">
        <v>0</v>
      </c>
      <c r="AB72" t="s">
        <v>52</v>
      </c>
      <c r="AC72" t="s">
        <v>52</v>
      </c>
      <c r="AD72" t="s">
        <v>52</v>
      </c>
      <c r="AE72" t="s">
        <v>52</v>
      </c>
      <c r="AF72" t="s">
        <v>52</v>
      </c>
      <c r="AG72" t="s">
        <v>52</v>
      </c>
      <c r="AH72" t="s">
        <v>52</v>
      </c>
      <c r="AI72" t="s">
        <v>52</v>
      </c>
      <c r="AJ72" t="s">
        <v>52</v>
      </c>
      <c r="AK72" t="s">
        <v>52</v>
      </c>
      <c r="AL72" t="s">
        <v>52</v>
      </c>
      <c r="AM72" t="s">
        <v>555</v>
      </c>
    </row>
    <row r="73" spans="1:39" x14ac:dyDescent="0.35">
      <c r="A73" t="s">
        <v>39</v>
      </c>
      <c r="B73" t="s">
        <v>849</v>
      </c>
      <c r="C73">
        <v>321106</v>
      </c>
      <c r="D73" t="s">
        <v>72</v>
      </c>
      <c r="E73" t="s">
        <v>850</v>
      </c>
      <c r="F73" t="s">
        <v>281</v>
      </c>
      <c r="G73" t="s">
        <v>554</v>
      </c>
      <c r="H73" t="s">
        <v>45</v>
      </c>
      <c r="I73" t="s">
        <v>108</v>
      </c>
      <c r="J73" t="s">
        <v>78</v>
      </c>
      <c r="K73" t="s">
        <v>79</v>
      </c>
      <c r="L73" t="s">
        <v>555</v>
      </c>
      <c r="M73" t="s">
        <v>556</v>
      </c>
      <c r="N73" t="s">
        <v>557</v>
      </c>
      <c r="O73" t="s">
        <v>804</v>
      </c>
      <c r="P73" t="s">
        <v>851</v>
      </c>
      <c r="Q73" t="s">
        <v>852</v>
      </c>
      <c r="R73" t="s">
        <v>853</v>
      </c>
      <c r="S73" t="s">
        <v>853</v>
      </c>
      <c r="T73" t="s">
        <v>854</v>
      </c>
      <c r="U73" t="s">
        <v>855</v>
      </c>
      <c r="V73" t="s">
        <v>855</v>
      </c>
      <c r="W73" t="s">
        <v>856</v>
      </c>
      <c r="X73" t="s">
        <v>857</v>
      </c>
      <c r="Y73" t="s">
        <v>858</v>
      </c>
      <c r="Z73">
        <v>0.69</v>
      </c>
      <c r="AA73">
        <v>0.69</v>
      </c>
      <c r="AB73" t="s">
        <v>336</v>
      </c>
      <c r="AC73" t="s">
        <v>336</v>
      </c>
      <c r="AD73" t="s">
        <v>336</v>
      </c>
      <c r="AE73" t="s">
        <v>859</v>
      </c>
      <c r="AF73" t="s">
        <v>860</v>
      </c>
      <c r="AG73" t="s">
        <v>861</v>
      </c>
      <c r="AH73" t="s">
        <v>862</v>
      </c>
      <c r="AI73" t="s">
        <v>862</v>
      </c>
      <c r="AJ73" t="s">
        <v>863</v>
      </c>
      <c r="AK73" t="s">
        <v>864</v>
      </c>
      <c r="AL73" t="s">
        <v>864</v>
      </c>
      <c r="AM73" t="s">
        <v>555</v>
      </c>
    </row>
    <row r="74" spans="1:39" x14ac:dyDescent="0.35">
      <c r="A74" t="s">
        <v>39</v>
      </c>
      <c r="B74" t="s">
        <v>865</v>
      </c>
      <c r="C74">
        <v>321107</v>
      </c>
      <c r="D74" t="s">
        <v>72</v>
      </c>
      <c r="E74" t="s">
        <v>866</v>
      </c>
      <c r="F74" t="s">
        <v>281</v>
      </c>
      <c r="G74" t="s">
        <v>554</v>
      </c>
      <c r="H74" t="s">
        <v>45</v>
      </c>
      <c r="I74" t="s">
        <v>108</v>
      </c>
      <c r="J74" t="s">
        <v>78</v>
      </c>
      <c r="K74" t="s">
        <v>79</v>
      </c>
      <c r="L74" t="s">
        <v>555</v>
      </c>
      <c r="M74" t="s">
        <v>556</v>
      </c>
      <c r="N74" t="s">
        <v>557</v>
      </c>
      <c r="O74" t="s">
        <v>867</v>
      </c>
      <c r="P74" t="s">
        <v>868</v>
      </c>
      <c r="Q74" t="s">
        <v>869</v>
      </c>
      <c r="R74" t="s">
        <v>870</v>
      </c>
      <c r="S74" t="s">
        <v>870</v>
      </c>
      <c r="T74" t="s">
        <v>871</v>
      </c>
      <c r="U74" t="s">
        <v>871</v>
      </c>
      <c r="V74" t="s">
        <v>871</v>
      </c>
      <c r="W74" t="s">
        <v>759</v>
      </c>
      <c r="X74" t="s">
        <v>872</v>
      </c>
      <c r="Y74" t="s">
        <v>181</v>
      </c>
      <c r="Z74">
        <v>0.41</v>
      </c>
      <c r="AA74">
        <v>0.41</v>
      </c>
      <c r="AB74" t="s">
        <v>181</v>
      </c>
      <c r="AC74" t="s">
        <v>181</v>
      </c>
      <c r="AD74" t="s">
        <v>181</v>
      </c>
      <c r="AE74" t="s">
        <v>873</v>
      </c>
      <c r="AF74" t="s">
        <v>874</v>
      </c>
      <c r="AG74" t="s">
        <v>875</v>
      </c>
      <c r="AH74" t="s">
        <v>876</v>
      </c>
      <c r="AI74" t="s">
        <v>876</v>
      </c>
      <c r="AJ74" t="s">
        <v>877</v>
      </c>
      <c r="AK74" t="s">
        <v>877</v>
      </c>
      <c r="AL74" t="s">
        <v>877</v>
      </c>
      <c r="AM74" t="s">
        <v>555</v>
      </c>
    </row>
    <row r="75" spans="1:39" x14ac:dyDescent="0.35">
      <c r="A75" t="s">
        <v>39</v>
      </c>
      <c r="B75" t="s">
        <v>878</v>
      </c>
      <c r="C75">
        <v>304610</v>
      </c>
      <c r="D75" t="s">
        <v>72</v>
      </c>
      <c r="E75" t="s">
        <v>879</v>
      </c>
      <c r="F75" t="s">
        <v>718</v>
      </c>
      <c r="G75" t="s">
        <v>554</v>
      </c>
      <c r="H75" t="s">
        <v>45</v>
      </c>
      <c r="I75" t="s">
        <v>108</v>
      </c>
      <c r="J75" t="s">
        <v>78</v>
      </c>
      <c r="K75" t="s">
        <v>79</v>
      </c>
      <c r="L75" t="s">
        <v>555</v>
      </c>
      <c r="M75" t="s">
        <v>556</v>
      </c>
      <c r="N75" t="s">
        <v>557</v>
      </c>
      <c r="O75" t="s">
        <v>52</v>
      </c>
      <c r="P75" t="s">
        <v>52</v>
      </c>
      <c r="Q75" t="s">
        <v>52</v>
      </c>
      <c r="R75" t="s">
        <v>52</v>
      </c>
      <c r="S75" t="s">
        <v>52</v>
      </c>
      <c r="T75" t="s">
        <v>52</v>
      </c>
      <c r="U75" t="s">
        <v>52</v>
      </c>
      <c r="V75" t="s">
        <v>52</v>
      </c>
      <c r="W75" t="s">
        <v>52</v>
      </c>
      <c r="X75" t="s">
        <v>52</v>
      </c>
      <c r="Y75" t="s">
        <v>52</v>
      </c>
      <c r="Z75">
        <v>0</v>
      </c>
      <c r="AA75">
        <v>0</v>
      </c>
      <c r="AB75" t="s">
        <v>52</v>
      </c>
      <c r="AC75" t="s">
        <v>52</v>
      </c>
      <c r="AD75" t="s">
        <v>52</v>
      </c>
      <c r="AE75" t="s">
        <v>52</v>
      </c>
      <c r="AF75" t="s">
        <v>52</v>
      </c>
      <c r="AG75" t="s">
        <v>52</v>
      </c>
      <c r="AH75" t="s">
        <v>52</v>
      </c>
      <c r="AI75" t="s">
        <v>52</v>
      </c>
      <c r="AJ75" t="s">
        <v>52</v>
      </c>
      <c r="AK75" t="s">
        <v>52</v>
      </c>
      <c r="AL75" t="s">
        <v>52</v>
      </c>
      <c r="AM75" t="s">
        <v>555</v>
      </c>
    </row>
    <row r="76" spans="1:39" x14ac:dyDescent="0.35">
      <c r="A76" t="s">
        <v>39</v>
      </c>
      <c r="B76" t="s">
        <v>880</v>
      </c>
      <c r="C76">
        <v>325358</v>
      </c>
      <c r="D76" t="s">
        <v>72</v>
      </c>
      <c r="E76" t="s">
        <v>881</v>
      </c>
      <c r="F76" t="s">
        <v>215</v>
      </c>
      <c r="G76" t="s">
        <v>44</v>
      </c>
      <c r="H76" t="s">
        <v>45</v>
      </c>
      <c r="I76" t="s">
        <v>108</v>
      </c>
      <c r="J76" t="s">
        <v>47</v>
      </c>
      <c r="K76" t="s">
        <v>79</v>
      </c>
      <c r="L76" t="s">
        <v>555</v>
      </c>
      <c r="M76" t="s">
        <v>882</v>
      </c>
      <c r="N76" t="s">
        <v>51</v>
      </c>
      <c r="O76" t="s">
        <v>883</v>
      </c>
      <c r="P76" t="s">
        <v>457</v>
      </c>
      <c r="Q76" t="s">
        <v>457</v>
      </c>
      <c r="R76" t="s">
        <v>457</v>
      </c>
      <c r="S76" t="s">
        <v>457</v>
      </c>
      <c r="T76" t="s">
        <v>457</v>
      </c>
      <c r="U76" t="s">
        <v>52</v>
      </c>
      <c r="V76" t="s">
        <v>52</v>
      </c>
      <c r="W76" t="s">
        <v>884</v>
      </c>
      <c r="X76" t="s">
        <v>858</v>
      </c>
      <c r="Y76" t="s">
        <v>858</v>
      </c>
      <c r="Z76">
        <v>0.8</v>
      </c>
      <c r="AA76">
        <v>0.8</v>
      </c>
      <c r="AB76" t="s">
        <v>858</v>
      </c>
      <c r="AC76" t="s">
        <v>52</v>
      </c>
      <c r="AD76" t="s">
        <v>52</v>
      </c>
      <c r="AE76" t="s">
        <v>885</v>
      </c>
      <c r="AF76" t="s">
        <v>886</v>
      </c>
      <c r="AG76" t="s">
        <v>886</v>
      </c>
      <c r="AH76" t="s">
        <v>886</v>
      </c>
      <c r="AI76" t="s">
        <v>886</v>
      </c>
      <c r="AJ76" t="s">
        <v>886</v>
      </c>
      <c r="AK76" t="s">
        <v>52</v>
      </c>
      <c r="AL76" t="s">
        <v>52</v>
      </c>
      <c r="AM76" t="s">
        <v>555</v>
      </c>
    </row>
    <row r="77" spans="1:39" x14ac:dyDescent="0.35">
      <c r="A77" t="s">
        <v>39</v>
      </c>
      <c r="B77" t="s">
        <v>887</v>
      </c>
      <c r="C77">
        <v>330595</v>
      </c>
      <c r="D77" t="s">
        <v>72</v>
      </c>
      <c r="E77" t="s">
        <v>888</v>
      </c>
      <c r="F77" t="s">
        <v>215</v>
      </c>
      <c r="G77" t="s">
        <v>44</v>
      </c>
      <c r="H77" t="s">
        <v>45</v>
      </c>
      <c r="I77" t="s">
        <v>108</v>
      </c>
      <c r="J77" t="s">
        <v>47</v>
      </c>
      <c r="K77" t="s">
        <v>79</v>
      </c>
      <c r="L77" t="s">
        <v>555</v>
      </c>
      <c r="M77" t="s">
        <v>889</v>
      </c>
      <c r="N77" t="s">
        <v>51</v>
      </c>
      <c r="O77" t="s">
        <v>890</v>
      </c>
      <c r="P77" t="s">
        <v>796</v>
      </c>
      <c r="Q77" t="s">
        <v>891</v>
      </c>
      <c r="R77" t="s">
        <v>892</v>
      </c>
      <c r="S77" t="s">
        <v>893</v>
      </c>
      <c r="T77" t="s">
        <v>796</v>
      </c>
      <c r="U77" t="s">
        <v>796</v>
      </c>
      <c r="V77" t="s">
        <v>894</v>
      </c>
      <c r="W77" t="s">
        <v>895</v>
      </c>
      <c r="X77" t="s">
        <v>800</v>
      </c>
      <c r="Y77" t="s">
        <v>896</v>
      </c>
      <c r="Z77">
        <v>4.05</v>
      </c>
      <c r="AA77">
        <v>2.7</v>
      </c>
      <c r="AB77" t="s">
        <v>800</v>
      </c>
      <c r="AC77" t="s">
        <v>800</v>
      </c>
      <c r="AD77" t="s">
        <v>897</v>
      </c>
      <c r="AE77" t="s">
        <v>898</v>
      </c>
      <c r="AF77" t="s">
        <v>899</v>
      </c>
      <c r="AG77" t="s">
        <v>900</v>
      </c>
      <c r="AH77" t="s">
        <v>901</v>
      </c>
      <c r="AI77" t="s">
        <v>902</v>
      </c>
      <c r="AJ77" t="s">
        <v>899</v>
      </c>
      <c r="AK77" t="s">
        <v>899</v>
      </c>
      <c r="AL77" t="s">
        <v>903</v>
      </c>
      <c r="AM77" t="s">
        <v>555</v>
      </c>
    </row>
    <row r="78" spans="1:39" x14ac:dyDescent="0.35">
      <c r="A78" t="s">
        <v>39</v>
      </c>
      <c r="B78" t="s">
        <v>904</v>
      </c>
      <c r="C78">
        <v>330962</v>
      </c>
      <c r="D78" t="s">
        <v>72</v>
      </c>
      <c r="E78" t="s">
        <v>905</v>
      </c>
      <c r="F78" t="s">
        <v>215</v>
      </c>
      <c r="G78" t="s">
        <v>44</v>
      </c>
      <c r="H78" t="s">
        <v>45</v>
      </c>
      <c r="I78" t="s">
        <v>108</v>
      </c>
      <c r="J78" t="s">
        <v>47</v>
      </c>
      <c r="K78" t="s">
        <v>79</v>
      </c>
      <c r="L78" t="s">
        <v>555</v>
      </c>
      <c r="M78" t="s">
        <v>469</v>
      </c>
      <c r="N78" t="s">
        <v>51</v>
      </c>
      <c r="O78" t="s">
        <v>52</v>
      </c>
      <c r="P78" t="s">
        <v>52</v>
      </c>
      <c r="Q78" t="s">
        <v>52</v>
      </c>
      <c r="R78" t="s">
        <v>52</v>
      </c>
      <c r="S78" t="s">
        <v>52</v>
      </c>
      <c r="T78" t="s">
        <v>52</v>
      </c>
      <c r="U78" t="s">
        <v>52</v>
      </c>
      <c r="V78" t="s">
        <v>52</v>
      </c>
      <c r="W78" t="s">
        <v>52</v>
      </c>
      <c r="X78" t="s">
        <v>52</v>
      </c>
      <c r="Y78" t="s">
        <v>52</v>
      </c>
      <c r="Z78">
        <v>0</v>
      </c>
      <c r="AA78">
        <v>0</v>
      </c>
      <c r="AB78" t="s">
        <v>52</v>
      </c>
      <c r="AC78" t="s">
        <v>52</v>
      </c>
      <c r="AD78" t="s">
        <v>52</v>
      </c>
      <c r="AE78" t="s">
        <v>52</v>
      </c>
      <c r="AF78" t="s">
        <v>52</v>
      </c>
      <c r="AG78" t="s">
        <v>52</v>
      </c>
      <c r="AH78" t="s">
        <v>52</v>
      </c>
      <c r="AI78" t="s">
        <v>52</v>
      </c>
      <c r="AJ78" t="s">
        <v>52</v>
      </c>
      <c r="AK78" t="s">
        <v>52</v>
      </c>
      <c r="AL78" t="s">
        <v>52</v>
      </c>
      <c r="AM78" t="s">
        <v>555</v>
      </c>
    </row>
    <row r="79" spans="1:39" x14ac:dyDescent="0.35">
      <c r="A79" t="s">
        <v>39</v>
      </c>
      <c r="B79" t="s">
        <v>906</v>
      </c>
      <c r="C79">
        <v>333605</v>
      </c>
      <c r="D79" t="s">
        <v>72</v>
      </c>
      <c r="E79" t="s">
        <v>907</v>
      </c>
      <c r="F79" t="s">
        <v>215</v>
      </c>
      <c r="G79" t="s">
        <v>44</v>
      </c>
      <c r="H79" t="s">
        <v>45</v>
      </c>
      <c r="I79" t="s">
        <v>108</v>
      </c>
      <c r="J79" t="s">
        <v>47</v>
      </c>
      <c r="K79" t="s">
        <v>79</v>
      </c>
      <c r="L79" t="s">
        <v>555</v>
      </c>
      <c r="M79" t="s">
        <v>848</v>
      </c>
      <c r="N79" t="s">
        <v>51</v>
      </c>
      <c r="O79" t="s">
        <v>52</v>
      </c>
      <c r="P79" t="s">
        <v>52</v>
      </c>
      <c r="Q79" t="s">
        <v>52</v>
      </c>
      <c r="R79" t="s">
        <v>52</v>
      </c>
      <c r="S79" t="s">
        <v>52</v>
      </c>
      <c r="T79" t="s">
        <v>52</v>
      </c>
      <c r="U79" t="s">
        <v>52</v>
      </c>
      <c r="V79" t="s">
        <v>52</v>
      </c>
      <c r="W79" t="s">
        <v>52</v>
      </c>
      <c r="X79" t="s">
        <v>52</v>
      </c>
      <c r="Y79" t="s">
        <v>52</v>
      </c>
      <c r="Z79">
        <v>0</v>
      </c>
      <c r="AA79">
        <v>0</v>
      </c>
      <c r="AB79" t="s">
        <v>52</v>
      </c>
      <c r="AC79" t="s">
        <v>52</v>
      </c>
      <c r="AD79" t="s">
        <v>52</v>
      </c>
      <c r="AE79" t="s">
        <v>52</v>
      </c>
      <c r="AF79" t="s">
        <v>52</v>
      </c>
      <c r="AG79" t="s">
        <v>52</v>
      </c>
      <c r="AH79" t="s">
        <v>52</v>
      </c>
      <c r="AI79" t="s">
        <v>52</v>
      </c>
      <c r="AJ79" t="s">
        <v>52</v>
      </c>
      <c r="AK79" t="s">
        <v>52</v>
      </c>
      <c r="AL79" t="s">
        <v>52</v>
      </c>
      <c r="AM79" t="s">
        <v>555</v>
      </c>
    </row>
    <row r="80" spans="1:39" x14ac:dyDescent="0.35">
      <c r="A80" t="s">
        <v>39</v>
      </c>
      <c r="B80" t="s">
        <v>908</v>
      </c>
      <c r="C80">
        <v>333602</v>
      </c>
      <c r="D80" t="s">
        <v>72</v>
      </c>
      <c r="E80" t="s">
        <v>907</v>
      </c>
      <c r="F80" t="s">
        <v>215</v>
      </c>
      <c r="G80" t="s">
        <v>44</v>
      </c>
      <c r="H80" t="s">
        <v>45</v>
      </c>
      <c r="I80" t="s">
        <v>108</v>
      </c>
      <c r="J80" t="s">
        <v>47</v>
      </c>
      <c r="K80" t="s">
        <v>79</v>
      </c>
      <c r="L80" t="s">
        <v>555</v>
      </c>
      <c r="M80" t="s">
        <v>848</v>
      </c>
      <c r="N80" t="s">
        <v>51</v>
      </c>
      <c r="O80" t="s">
        <v>909</v>
      </c>
      <c r="P80" t="s">
        <v>910</v>
      </c>
      <c r="Q80" t="s">
        <v>911</v>
      </c>
      <c r="R80" t="s">
        <v>912</v>
      </c>
      <c r="S80" t="s">
        <v>913</v>
      </c>
      <c r="T80" t="s">
        <v>914</v>
      </c>
      <c r="U80" t="s">
        <v>914</v>
      </c>
      <c r="V80" t="s">
        <v>915</v>
      </c>
      <c r="W80" t="s">
        <v>916</v>
      </c>
      <c r="X80" t="s">
        <v>917</v>
      </c>
      <c r="Y80" t="s">
        <v>918</v>
      </c>
      <c r="Z80">
        <v>18.96</v>
      </c>
      <c r="AA80">
        <v>27.09</v>
      </c>
      <c r="AB80" t="s">
        <v>919</v>
      </c>
      <c r="AC80" t="s">
        <v>919</v>
      </c>
      <c r="AD80" t="s">
        <v>920</v>
      </c>
      <c r="AE80" t="s">
        <v>921</v>
      </c>
      <c r="AF80" t="s">
        <v>922</v>
      </c>
      <c r="AG80" t="s">
        <v>923</v>
      </c>
      <c r="AH80" t="s">
        <v>924</v>
      </c>
      <c r="AI80" t="s">
        <v>925</v>
      </c>
      <c r="AJ80" t="s">
        <v>926</v>
      </c>
      <c r="AK80" t="s">
        <v>926</v>
      </c>
      <c r="AL80" t="s">
        <v>927</v>
      </c>
      <c r="AM80" t="s">
        <v>555</v>
      </c>
    </row>
    <row r="81" spans="1:39" x14ac:dyDescent="0.35">
      <c r="A81" t="s">
        <v>39</v>
      </c>
      <c r="B81" t="s">
        <v>928</v>
      </c>
      <c r="C81">
        <v>336463</v>
      </c>
      <c r="D81" t="s">
        <v>72</v>
      </c>
      <c r="E81" t="s">
        <v>929</v>
      </c>
      <c r="F81" t="s">
        <v>215</v>
      </c>
      <c r="G81" t="s">
        <v>44</v>
      </c>
      <c r="H81" t="s">
        <v>45</v>
      </c>
      <c r="I81" t="s">
        <v>108</v>
      </c>
      <c r="J81" t="s">
        <v>47</v>
      </c>
      <c r="K81" t="s">
        <v>79</v>
      </c>
      <c r="L81" t="s">
        <v>555</v>
      </c>
      <c r="M81" t="s">
        <v>930</v>
      </c>
      <c r="N81" t="s">
        <v>51</v>
      </c>
      <c r="O81" t="s">
        <v>52</v>
      </c>
      <c r="P81" t="s">
        <v>52</v>
      </c>
      <c r="Q81" t="s">
        <v>52</v>
      </c>
      <c r="R81" t="s">
        <v>52</v>
      </c>
      <c r="S81" t="s">
        <v>52</v>
      </c>
      <c r="T81" t="s">
        <v>52</v>
      </c>
      <c r="U81" t="s">
        <v>52</v>
      </c>
      <c r="V81" t="s">
        <v>52</v>
      </c>
      <c r="W81" t="s">
        <v>52</v>
      </c>
      <c r="X81" t="s">
        <v>52</v>
      </c>
      <c r="Y81" t="s">
        <v>52</v>
      </c>
      <c r="Z81">
        <v>0</v>
      </c>
      <c r="AA81">
        <v>0</v>
      </c>
      <c r="AB81" t="s">
        <v>52</v>
      </c>
      <c r="AC81" t="s">
        <v>52</v>
      </c>
      <c r="AD81" t="s">
        <v>52</v>
      </c>
      <c r="AE81" t="s">
        <v>52</v>
      </c>
      <c r="AF81" t="s">
        <v>52</v>
      </c>
      <c r="AG81" t="s">
        <v>52</v>
      </c>
      <c r="AH81" t="s">
        <v>52</v>
      </c>
      <c r="AI81" t="s">
        <v>52</v>
      </c>
      <c r="AJ81" t="s">
        <v>52</v>
      </c>
      <c r="AK81" t="s">
        <v>52</v>
      </c>
      <c r="AL81" t="s">
        <v>52</v>
      </c>
      <c r="AM81" t="s">
        <v>555</v>
      </c>
    </row>
    <row r="82" spans="1:39" x14ac:dyDescent="0.35">
      <c r="A82" t="s">
        <v>39</v>
      </c>
      <c r="B82" t="s">
        <v>931</v>
      </c>
      <c r="C82">
        <v>336464</v>
      </c>
      <c r="D82" t="s">
        <v>72</v>
      </c>
      <c r="E82" t="s">
        <v>932</v>
      </c>
      <c r="F82" t="s">
        <v>215</v>
      </c>
      <c r="G82" t="s">
        <v>44</v>
      </c>
      <c r="H82" t="s">
        <v>45</v>
      </c>
      <c r="I82" t="s">
        <v>108</v>
      </c>
      <c r="J82" t="s">
        <v>47</v>
      </c>
      <c r="K82" t="s">
        <v>79</v>
      </c>
      <c r="L82" t="s">
        <v>555</v>
      </c>
      <c r="M82" t="s">
        <v>848</v>
      </c>
      <c r="N82" t="s">
        <v>51</v>
      </c>
      <c r="O82" t="s">
        <v>52</v>
      </c>
      <c r="P82" t="s">
        <v>52</v>
      </c>
      <c r="Q82" t="s">
        <v>52</v>
      </c>
      <c r="R82" t="s">
        <v>52</v>
      </c>
      <c r="S82" t="s">
        <v>52</v>
      </c>
      <c r="T82" t="s">
        <v>52</v>
      </c>
      <c r="U82" t="s">
        <v>52</v>
      </c>
      <c r="V82" t="s">
        <v>52</v>
      </c>
      <c r="W82" t="s">
        <v>52</v>
      </c>
      <c r="X82" t="s">
        <v>52</v>
      </c>
      <c r="Y82" t="s">
        <v>52</v>
      </c>
      <c r="Z82">
        <v>0</v>
      </c>
      <c r="AA82">
        <v>0</v>
      </c>
      <c r="AB82" t="s">
        <v>52</v>
      </c>
      <c r="AC82" t="s">
        <v>52</v>
      </c>
      <c r="AD82" t="s">
        <v>52</v>
      </c>
      <c r="AE82" t="s">
        <v>52</v>
      </c>
      <c r="AF82" t="s">
        <v>52</v>
      </c>
      <c r="AG82" t="s">
        <v>52</v>
      </c>
      <c r="AH82" t="s">
        <v>52</v>
      </c>
      <c r="AI82" t="s">
        <v>52</v>
      </c>
      <c r="AJ82" t="s">
        <v>52</v>
      </c>
      <c r="AK82" t="s">
        <v>52</v>
      </c>
      <c r="AL82" t="s">
        <v>52</v>
      </c>
      <c r="AM82" t="s">
        <v>555</v>
      </c>
    </row>
    <row r="83" spans="1:39" x14ac:dyDescent="0.35">
      <c r="A83" t="s">
        <v>39</v>
      </c>
      <c r="B83" t="s">
        <v>933</v>
      </c>
      <c r="C83">
        <v>337433</v>
      </c>
      <c r="D83" t="s">
        <v>72</v>
      </c>
      <c r="E83" t="s">
        <v>934</v>
      </c>
      <c r="F83" t="s">
        <v>74</v>
      </c>
      <c r="G83" t="s">
        <v>44</v>
      </c>
      <c r="H83" t="s">
        <v>45</v>
      </c>
      <c r="I83" t="s">
        <v>108</v>
      </c>
      <c r="J83" t="s">
        <v>47</v>
      </c>
      <c r="K83" t="s">
        <v>79</v>
      </c>
      <c r="L83" t="s">
        <v>555</v>
      </c>
      <c r="M83" t="s">
        <v>935</v>
      </c>
      <c r="N83" t="s">
        <v>51</v>
      </c>
      <c r="O83" t="s">
        <v>52</v>
      </c>
      <c r="P83" t="s">
        <v>52</v>
      </c>
      <c r="Q83" t="s">
        <v>936</v>
      </c>
      <c r="R83" t="s">
        <v>936</v>
      </c>
      <c r="S83" t="s">
        <v>936</v>
      </c>
      <c r="T83" t="s">
        <v>937</v>
      </c>
      <c r="U83" t="s">
        <v>937</v>
      </c>
      <c r="V83" t="s">
        <v>937</v>
      </c>
      <c r="W83" t="s">
        <v>52</v>
      </c>
      <c r="X83" t="s">
        <v>52</v>
      </c>
      <c r="Y83" t="s">
        <v>938</v>
      </c>
      <c r="Z83">
        <v>0.9</v>
      </c>
      <c r="AA83">
        <v>0.9</v>
      </c>
      <c r="AB83" t="s">
        <v>685</v>
      </c>
      <c r="AC83" t="s">
        <v>685</v>
      </c>
      <c r="AD83" t="s">
        <v>685</v>
      </c>
      <c r="AE83" t="s">
        <v>52</v>
      </c>
      <c r="AF83" t="s">
        <v>52</v>
      </c>
      <c r="AG83" t="s">
        <v>939</v>
      </c>
      <c r="AH83" t="s">
        <v>939</v>
      </c>
      <c r="AI83" t="s">
        <v>939</v>
      </c>
      <c r="AJ83" t="s">
        <v>940</v>
      </c>
      <c r="AK83" t="s">
        <v>940</v>
      </c>
      <c r="AL83" t="s">
        <v>940</v>
      </c>
      <c r="AM83" t="s">
        <v>555</v>
      </c>
    </row>
    <row r="84" spans="1:39" x14ac:dyDescent="0.35">
      <c r="A84" t="s">
        <v>39</v>
      </c>
      <c r="B84" t="s">
        <v>941</v>
      </c>
      <c r="C84">
        <v>337576</v>
      </c>
      <c r="D84" t="s">
        <v>72</v>
      </c>
      <c r="E84" t="s">
        <v>942</v>
      </c>
      <c r="F84" t="s">
        <v>943</v>
      </c>
      <c r="G84" t="s">
        <v>44</v>
      </c>
      <c r="H84" t="s">
        <v>45</v>
      </c>
      <c r="I84" t="s">
        <v>108</v>
      </c>
      <c r="J84" t="s">
        <v>47</v>
      </c>
      <c r="K84" t="s">
        <v>79</v>
      </c>
      <c r="L84" t="s">
        <v>555</v>
      </c>
      <c r="M84" t="s">
        <v>935</v>
      </c>
      <c r="N84" t="s">
        <v>51</v>
      </c>
      <c r="O84" t="s">
        <v>52</v>
      </c>
      <c r="P84" t="s">
        <v>52</v>
      </c>
      <c r="Q84" t="s">
        <v>52</v>
      </c>
      <c r="R84" t="s">
        <v>52</v>
      </c>
      <c r="S84" t="s">
        <v>52</v>
      </c>
      <c r="T84" t="s">
        <v>52</v>
      </c>
      <c r="U84" t="s">
        <v>52</v>
      </c>
      <c r="V84" t="s">
        <v>52</v>
      </c>
      <c r="W84" t="s">
        <v>52</v>
      </c>
      <c r="X84" t="s">
        <v>52</v>
      </c>
      <c r="Y84" t="s">
        <v>52</v>
      </c>
      <c r="Z84">
        <v>0</v>
      </c>
      <c r="AA84">
        <v>0</v>
      </c>
      <c r="AB84" t="s">
        <v>52</v>
      </c>
      <c r="AC84" t="s">
        <v>52</v>
      </c>
      <c r="AD84" t="s">
        <v>52</v>
      </c>
      <c r="AE84" t="s">
        <v>52</v>
      </c>
      <c r="AF84" t="s">
        <v>52</v>
      </c>
      <c r="AG84" t="s">
        <v>52</v>
      </c>
      <c r="AH84" t="s">
        <v>52</v>
      </c>
      <c r="AI84" t="s">
        <v>52</v>
      </c>
      <c r="AJ84" t="s">
        <v>52</v>
      </c>
      <c r="AK84" t="s">
        <v>52</v>
      </c>
      <c r="AL84" t="s">
        <v>52</v>
      </c>
      <c r="AM84" t="s">
        <v>555</v>
      </c>
    </row>
    <row r="85" spans="1:39" x14ac:dyDescent="0.35">
      <c r="A85" t="s">
        <v>39</v>
      </c>
      <c r="B85" t="s">
        <v>944</v>
      </c>
      <c r="C85">
        <v>337772</v>
      </c>
      <c r="D85" t="s">
        <v>72</v>
      </c>
      <c r="E85" t="s">
        <v>945</v>
      </c>
      <c r="F85" t="s">
        <v>74</v>
      </c>
      <c r="G85" t="s">
        <v>44</v>
      </c>
      <c r="H85" t="s">
        <v>45</v>
      </c>
      <c r="I85" t="s">
        <v>108</v>
      </c>
      <c r="J85" t="s">
        <v>47</v>
      </c>
      <c r="K85" t="s">
        <v>79</v>
      </c>
      <c r="L85" t="s">
        <v>555</v>
      </c>
      <c r="M85" t="s">
        <v>808</v>
      </c>
      <c r="N85" t="s">
        <v>51</v>
      </c>
      <c r="O85" t="s">
        <v>946</v>
      </c>
      <c r="P85" t="s">
        <v>947</v>
      </c>
      <c r="Q85" t="s">
        <v>947</v>
      </c>
      <c r="R85" t="s">
        <v>948</v>
      </c>
      <c r="S85" t="s">
        <v>948</v>
      </c>
      <c r="T85" t="s">
        <v>949</v>
      </c>
      <c r="U85" t="s">
        <v>949</v>
      </c>
      <c r="V85" t="s">
        <v>949</v>
      </c>
      <c r="W85" t="s">
        <v>950</v>
      </c>
      <c r="X85" t="s">
        <v>951</v>
      </c>
      <c r="Y85" t="s">
        <v>951</v>
      </c>
      <c r="Z85">
        <v>3.52</v>
      </c>
      <c r="AA85">
        <v>3.52</v>
      </c>
      <c r="AB85" t="s">
        <v>573</v>
      </c>
      <c r="AC85" t="s">
        <v>573</v>
      </c>
      <c r="AD85" t="s">
        <v>573</v>
      </c>
      <c r="AE85" t="s">
        <v>952</v>
      </c>
      <c r="AF85" t="s">
        <v>953</v>
      </c>
      <c r="AG85" t="s">
        <v>953</v>
      </c>
      <c r="AH85" t="s">
        <v>954</v>
      </c>
      <c r="AI85" t="s">
        <v>954</v>
      </c>
      <c r="AJ85" t="s">
        <v>955</v>
      </c>
      <c r="AK85" t="s">
        <v>955</v>
      </c>
      <c r="AL85" t="s">
        <v>955</v>
      </c>
      <c r="AM85" t="s">
        <v>555</v>
      </c>
    </row>
    <row r="86" spans="1:39" x14ac:dyDescent="0.35">
      <c r="A86" t="s">
        <v>39</v>
      </c>
      <c r="B86" t="s">
        <v>956</v>
      </c>
      <c r="C86">
        <v>337773</v>
      </c>
      <c r="D86" t="s">
        <v>72</v>
      </c>
      <c r="E86" t="s">
        <v>957</v>
      </c>
      <c r="F86" t="s">
        <v>943</v>
      </c>
      <c r="G86" t="s">
        <v>44</v>
      </c>
      <c r="H86" t="s">
        <v>45</v>
      </c>
      <c r="I86" t="s">
        <v>108</v>
      </c>
      <c r="J86" t="s">
        <v>47</v>
      </c>
      <c r="K86" t="s">
        <v>79</v>
      </c>
      <c r="L86" t="s">
        <v>555</v>
      </c>
      <c r="M86" t="s">
        <v>808</v>
      </c>
      <c r="N86" t="s">
        <v>51</v>
      </c>
      <c r="O86" t="s">
        <v>52</v>
      </c>
      <c r="P86" t="s">
        <v>52</v>
      </c>
      <c r="Q86" t="s">
        <v>52</v>
      </c>
      <c r="R86" t="s">
        <v>52</v>
      </c>
      <c r="S86" t="s">
        <v>52</v>
      </c>
      <c r="T86" t="s">
        <v>52</v>
      </c>
      <c r="U86" t="s">
        <v>52</v>
      </c>
      <c r="V86" t="s">
        <v>52</v>
      </c>
      <c r="W86" t="s">
        <v>52</v>
      </c>
      <c r="X86" t="s">
        <v>52</v>
      </c>
      <c r="Y86" t="s">
        <v>52</v>
      </c>
      <c r="Z86">
        <v>0</v>
      </c>
      <c r="AA86">
        <v>0</v>
      </c>
      <c r="AB86" t="s">
        <v>52</v>
      </c>
      <c r="AC86" t="s">
        <v>52</v>
      </c>
      <c r="AD86" t="s">
        <v>52</v>
      </c>
      <c r="AE86" t="s">
        <v>52</v>
      </c>
      <c r="AF86" t="s">
        <v>52</v>
      </c>
      <c r="AG86" t="s">
        <v>52</v>
      </c>
      <c r="AH86" t="s">
        <v>52</v>
      </c>
      <c r="AI86" t="s">
        <v>52</v>
      </c>
      <c r="AJ86" t="s">
        <v>52</v>
      </c>
      <c r="AK86" t="s">
        <v>52</v>
      </c>
      <c r="AL86" t="s">
        <v>52</v>
      </c>
      <c r="AM86" t="s">
        <v>555</v>
      </c>
    </row>
    <row r="87" spans="1:39" x14ac:dyDescent="0.35">
      <c r="A87" t="s">
        <v>39</v>
      </c>
      <c r="B87" t="s">
        <v>958</v>
      </c>
      <c r="C87">
        <v>337838</v>
      </c>
      <c r="D87" t="s">
        <v>72</v>
      </c>
      <c r="E87" t="s">
        <v>959</v>
      </c>
      <c r="F87" t="s">
        <v>74</v>
      </c>
      <c r="G87" t="s">
        <v>44</v>
      </c>
      <c r="H87" t="s">
        <v>45</v>
      </c>
      <c r="I87" t="s">
        <v>108</v>
      </c>
      <c r="J87" t="s">
        <v>47</v>
      </c>
      <c r="K87" t="s">
        <v>79</v>
      </c>
      <c r="L87" t="s">
        <v>555</v>
      </c>
      <c r="M87" t="s">
        <v>882</v>
      </c>
      <c r="N87" t="s">
        <v>51</v>
      </c>
      <c r="O87" t="s">
        <v>960</v>
      </c>
      <c r="P87" t="s">
        <v>961</v>
      </c>
      <c r="Q87" t="s">
        <v>961</v>
      </c>
      <c r="R87" t="s">
        <v>962</v>
      </c>
      <c r="S87" t="s">
        <v>962</v>
      </c>
      <c r="T87" t="s">
        <v>961</v>
      </c>
      <c r="U87" t="s">
        <v>961</v>
      </c>
      <c r="V87" t="s">
        <v>949</v>
      </c>
      <c r="W87" t="s">
        <v>963</v>
      </c>
      <c r="X87" t="s">
        <v>573</v>
      </c>
      <c r="Y87" t="s">
        <v>573</v>
      </c>
      <c r="Z87">
        <v>2.35</v>
      </c>
      <c r="AA87">
        <v>2.35</v>
      </c>
      <c r="AB87" t="s">
        <v>573</v>
      </c>
      <c r="AC87" t="s">
        <v>573</v>
      </c>
      <c r="AD87" t="s">
        <v>964</v>
      </c>
      <c r="AE87" t="s">
        <v>965</v>
      </c>
      <c r="AF87" t="s">
        <v>966</v>
      </c>
      <c r="AG87" t="s">
        <v>966</v>
      </c>
      <c r="AH87" t="s">
        <v>967</v>
      </c>
      <c r="AI87" t="s">
        <v>967</v>
      </c>
      <c r="AJ87" t="s">
        <v>966</v>
      </c>
      <c r="AK87" t="s">
        <v>966</v>
      </c>
      <c r="AL87" t="s">
        <v>968</v>
      </c>
      <c r="AM87" t="s">
        <v>555</v>
      </c>
    </row>
    <row r="88" spans="1:39" x14ac:dyDescent="0.35">
      <c r="A88" t="s">
        <v>39</v>
      </c>
      <c r="B88" t="s">
        <v>969</v>
      </c>
      <c r="C88">
        <v>419371</v>
      </c>
      <c r="D88" t="s">
        <v>72</v>
      </c>
      <c r="E88" t="s">
        <v>970</v>
      </c>
      <c r="F88" t="s">
        <v>215</v>
      </c>
      <c r="G88" t="s">
        <v>44</v>
      </c>
      <c r="H88" t="s">
        <v>45</v>
      </c>
      <c r="I88" t="s">
        <v>108</v>
      </c>
      <c r="J88" t="s">
        <v>47</v>
      </c>
      <c r="K88" t="s">
        <v>79</v>
      </c>
      <c r="L88" t="s">
        <v>555</v>
      </c>
      <c r="M88" t="s">
        <v>971</v>
      </c>
      <c r="N88" t="s">
        <v>51</v>
      </c>
      <c r="O88" t="s">
        <v>972</v>
      </c>
      <c r="P88" t="s">
        <v>52</v>
      </c>
      <c r="Q88" t="s">
        <v>52</v>
      </c>
      <c r="R88" t="s">
        <v>52</v>
      </c>
      <c r="S88" t="s">
        <v>52</v>
      </c>
      <c r="T88" t="s">
        <v>52</v>
      </c>
      <c r="U88" t="s">
        <v>52</v>
      </c>
      <c r="V88" t="s">
        <v>52</v>
      </c>
      <c r="W88" t="s">
        <v>973</v>
      </c>
      <c r="X88" t="s">
        <v>52</v>
      </c>
      <c r="Y88" t="s">
        <v>52</v>
      </c>
      <c r="Z88">
        <v>0</v>
      </c>
      <c r="AA88">
        <v>0</v>
      </c>
      <c r="AB88" t="s">
        <v>52</v>
      </c>
      <c r="AC88" t="s">
        <v>52</v>
      </c>
      <c r="AD88" t="s">
        <v>52</v>
      </c>
      <c r="AE88" t="s">
        <v>974</v>
      </c>
      <c r="AF88" t="s">
        <v>52</v>
      </c>
      <c r="AG88" t="s">
        <v>52</v>
      </c>
      <c r="AH88" t="s">
        <v>52</v>
      </c>
      <c r="AI88" t="s">
        <v>52</v>
      </c>
      <c r="AJ88" t="s">
        <v>52</v>
      </c>
      <c r="AK88" t="s">
        <v>52</v>
      </c>
      <c r="AL88" t="s">
        <v>52</v>
      </c>
      <c r="AM88" t="s">
        <v>555</v>
      </c>
    </row>
    <row r="89" spans="1:39" x14ac:dyDescent="0.35">
      <c r="A89" t="s">
        <v>39</v>
      </c>
      <c r="B89" t="s">
        <v>975</v>
      </c>
      <c r="C89">
        <v>347459</v>
      </c>
      <c r="D89" t="s">
        <v>72</v>
      </c>
      <c r="E89" t="s">
        <v>976</v>
      </c>
      <c r="F89" t="s">
        <v>215</v>
      </c>
      <c r="G89" t="s">
        <v>44</v>
      </c>
      <c r="H89" t="s">
        <v>45</v>
      </c>
      <c r="I89" t="s">
        <v>108</v>
      </c>
      <c r="J89" t="s">
        <v>47</v>
      </c>
      <c r="K89" t="s">
        <v>79</v>
      </c>
      <c r="L89" t="s">
        <v>555</v>
      </c>
      <c r="M89" t="s">
        <v>977</v>
      </c>
      <c r="N89" t="s">
        <v>51</v>
      </c>
      <c r="O89" t="s">
        <v>978</v>
      </c>
      <c r="P89" t="s">
        <v>979</v>
      </c>
      <c r="Q89" t="s">
        <v>980</v>
      </c>
      <c r="R89" t="s">
        <v>980</v>
      </c>
      <c r="S89" t="s">
        <v>981</v>
      </c>
      <c r="T89" t="s">
        <v>979</v>
      </c>
      <c r="U89" t="s">
        <v>979</v>
      </c>
      <c r="V89" t="s">
        <v>979</v>
      </c>
      <c r="W89" t="s">
        <v>982</v>
      </c>
      <c r="X89" t="s">
        <v>983</v>
      </c>
      <c r="Y89" t="s">
        <v>786</v>
      </c>
      <c r="Z89">
        <v>1.45</v>
      </c>
      <c r="AA89">
        <v>2.84</v>
      </c>
      <c r="AB89" t="s">
        <v>983</v>
      </c>
      <c r="AC89" t="s">
        <v>983</v>
      </c>
      <c r="AD89" t="s">
        <v>983</v>
      </c>
      <c r="AE89" t="s">
        <v>984</v>
      </c>
      <c r="AF89" t="s">
        <v>985</v>
      </c>
      <c r="AG89" t="s">
        <v>986</v>
      </c>
      <c r="AH89" t="s">
        <v>986</v>
      </c>
      <c r="AI89" t="s">
        <v>987</v>
      </c>
      <c r="AJ89" t="s">
        <v>985</v>
      </c>
      <c r="AK89" t="s">
        <v>985</v>
      </c>
      <c r="AL89" t="s">
        <v>985</v>
      </c>
      <c r="AM89" t="s">
        <v>555</v>
      </c>
    </row>
    <row r="90" spans="1:39" x14ac:dyDescent="0.35">
      <c r="A90" t="s">
        <v>39</v>
      </c>
      <c r="B90" t="s">
        <v>988</v>
      </c>
      <c r="C90">
        <v>347460</v>
      </c>
      <c r="D90" t="s">
        <v>72</v>
      </c>
      <c r="E90" t="s">
        <v>989</v>
      </c>
      <c r="F90" t="s">
        <v>215</v>
      </c>
      <c r="G90" t="s">
        <v>44</v>
      </c>
      <c r="H90" t="s">
        <v>45</v>
      </c>
      <c r="I90" t="s">
        <v>108</v>
      </c>
      <c r="J90" t="s">
        <v>47</v>
      </c>
      <c r="K90" t="s">
        <v>79</v>
      </c>
      <c r="L90" t="s">
        <v>555</v>
      </c>
      <c r="M90" t="s">
        <v>977</v>
      </c>
      <c r="N90" t="s">
        <v>51</v>
      </c>
      <c r="O90" t="s">
        <v>990</v>
      </c>
      <c r="P90" t="s">
        <v>991</v>
      </c>
      <c r="Q90" t="s">
        <v>914</v>
      </c>
      <c r="R90" t="s">
        <v>992</v>
      </c>
      <c r="S90" t="s">
        <v>993</v>
      </c>
      <c r="T90" t="s">
        <v>994</v>
      </c>
      <c r="U90" t="s">
        <v>995</v>
      </c>
      <c r="V90" t="s">
        <v>996</v>
      </c>
      <c r="W90" t="s">
        <v>997</v>
      </c>
      <c r="X90" t="s">
        <v>998</v>
      </c>
      <c r="Y90" t="s">
        <v>919</v>
      </c>
      <c r="Z90">
        <v>46.09</v>
      </c>
      <c r="AA90">
        <v>43.38</v>
      </c>
      <c r="AB90" t="s">
        <v>999</v>
      </c>
      <c r="AC90" t="s">
        <v>1000</v>
      </c>
      <c r="AD90" t="s">
        <v>1001</v>
      </c>
      <c r="AE90" t="s">
        <v>1002</v>
      </c>
      <c r="AF90" t="s">
        <v>1003</v>
      </c>
      <c r="AG90" t="s">
        <v>1004</v>
      </c>
      <c r="AH90" t="s">
        <v>1005</v>
      </c>
      <c r="AI90" t="s">
        <v>1006</v>
      </c>
      <c r="AJ90" t="s">
        <v>1007</v>
      </c>
      <c r="AK90" t="s">
        <v>1008</v>
      </c>
      <c r="AL90" t="s">
        <v>1009</v>
      </c>
      <c r="AM90" t="s">
        <v>555</v>
      </c>
    </row>
    <row r="91" spans="1:39" x14ac:dyDescent="0.35">
      <c r="A91" t="s">
        <v>39</v>
      </c>
      <c r="B91" t="s">
        <v>1010</v>
      </c>
      <c r="C91">
        <v>347200</v>
      </c>
      <c r="D91" t="s">
        <v>72</v>
      </c>
      <c r="E91" t="s">
        <v>1011</v>
      </c>
      <c r="F91" t="s">
        <v>1012</v>
      </c>
      <c r="G91" t="s">
        <v>554</v>
      </c>
      <c r="H91" t="s">
        <v>45</v>
      </c>
      <c r="I91" t="s">
        <v>108</v>
      </c>
      <c r="J91" t="s">
        <v>78</v>
      </c>
      <c r="K91" t="s">
        <v>79</v>
      </c>
      <c r="L91" t="s">
        <v>555</v>
      </c>
      <c r="M91" t="s">
        <v>556</v>
      </c>
      <c r="N91" t="s">
        <v>557</v>
      </c>
      <c r="O91" t="s">
        <v>921</v>
      </c>
      <c r="P91" t="s">
        <v>1013</v>
      </c>
      <c r="Q91" t="s">
        <v>1014</v>
      </c>
      <c r="R91" t="s">
        <v>1015</v>
      </c>
      <c r="S91" t="s">
        <v>1015</v>
      </c>
      <c r="T91" t="s">
        <v>1016</v>
      </c>
      <c r="U91" t="s">
        <v>1016</v>
      </c>
      <c r="V91" t="s">
        <v>1017</v>
      </c>
      <c r="W91" t="s">
        <v>1018</v>
      </c>
      <c r="X91" t="s">
        <v>801</v>
      </c>
      <c r="Y91" t="s">
        <v>712</v>
      </c>
      <c r="Z91">
        <v>4.3600000000000003</v>
      </c>
      <c r="AA91">
        <v>4.3600000000000003</v>
      </c>
      <c r="AB91" t="s">
        <v>1019</v>
      </c>
      <c r="AC91" t="s">
        <v>1019</v>
      </c>
      <c r="AD91" t="s">
        <v>1020</v>
      </c>
      <c r="AE91" t="s">
        <v>1021</v>
      </c>
      <c r="AF91" t="s">
        <v>1022</v>
      </c>
      <c r="AG91" t="s">
        <v>1023</v>
      </c>
      <c r="AH91" t="s">
        <v>1024</v>
      </c>
      <c r="AI91" t="s">
        <v>1024</v>
      </c>
      <c r="AJ91" t="s">
        <v>1025</v>
      </c>
      <c r="AK91" t="s">
        <v>1025</v>
      </c>
      <c r="AL91" t="s">
        <v>1026</v>
      </c>
      <c r="AM91" t="s">
        <v>555</v>
      </c>
    </row>
    <row r="92" spans="1:39" x14ac:dyDescent="0.35">
      <c r="A92" t="s">
        <v>39</v>
      </c>
      <c r="B92" t="s">
        <v>1027</v>
      </c>
      <c r="C92">
        <v>347582</v>
      </c>
      <c r="D92" t="s">
        <v>72</v>
      </c>
      <c r="E92" t="s">
        <v>1028</v>
      </c>
      <c r="F92" t="s">
        <v>1029</v>
      </c>
      <c r="G92" t="s">
        <v>554</v>
      </c>
      <c r="H92" t="s">
        <v>45</v>
      </c>
      <c r="I92" t="s">
        <v>108</v>
      </c>
      <c r="J92" t="s">
        <v>78</v>
      </c>
      <c r="K92" t="s">
        <v>79</v>
      </c>
      <c r="L92" t="s">
        <v>555</v>
      </c>
      <c r="M92" t="s">
        <v>556</v>
      </c>
      <c r="N92" t="s">
        <v>557</v>
      </c>
      <c r="O92" t="s">
        <v>1030</v>
      </c>
      <c r="P92" t="s">
        <v>1031</v>
      </c>
      <c r="Q92" t="s">
        <v>1032</v>
      </c>
      <c r="R92" t="s">
        <v>1033</v>
      </c>
      <c r="S92" t="s">
        <v>1033</v>
      </c>
      <c r="T92" t="s">
        <v>1034</v>
      </c>
      <c r="U92" t="s">
        <v>1034</v>
      </c>
      <c r="V92" t="s">
        <v>1035</v>
      </c>
      <c r="W92" t="s">
        <v>1036</v>
      </c>
      <c r="X92" t="s">
        <v>1037</v>
      </c>
      <c r="Y92" t="s">
        <v>1038</v>
      </c>
      <c r="Z92">
        <v>127.41</v>
      </c>
      <c r="AA92">
        <v>127.41</v>
      </c>
      <c r="AB92" t="s">
        <v>1039</v>
      </c>
      <c r="AC92" t="s">
        <v>1039</v>
      </c>
      <c r="AD92" t="s">
        <v>1040</v>
      </c>
      <c r="AE92" t="s">
        <v>1041</v>
      </c>
      <c r="AF92" t="s">
        <v>1042</v>
      </c>
      <c r="AG92" t="s">
        <v>1043</v>
      </c>
      <c r="AH92" t="s">
        <v>1044</v>
      </c>
      <c r="AI92" t="s">
        <v>1044</v>
      </c>
      <c r="AJ92" t="s">
        <v>1045</v>
      </c>
      <c r="AK92" t="s">
        <v>1045</v>
      </c>
      <c r="AL92" t="s">
        <v>1046</v>
      </c>
      <c r="AM92" t="s">
        <v>555</v>
      </c>
    </row>
    <row r="93" spans="1:39" x14ac:dyDescent="0.35">
      <c r="A93" t="s">
        <v>39</v>
      </c>
      <c r="B93" t="s">
        <v>1047</v>
      </c>
      <c r="C93">
        <v>347584</v>
      </c>
      <c r="D93" t="s">
        <v>72</v>
      </c>
      <c r="E93" t="s">
        <v>1048</v>
      </c>
      <c r="F93" t="s">
        <v>1029</v>
      </c>
      <c r="G93" t="s">
        <v>554</v>
      </c>
      <c r="H93" t="s">
        <v>45</v>
      </c>
      <c r="I93" t="s">
        <v>108</v>
      </c>
      <c r="J93" t="s">
        <v>78</v>
      </c>
      <c r="K93" t="s">
        <v>79</v>
      </c>
      <c r="L93" t="s">
        <v>555</v>
      </c>
      <c r="M93" t="s">
        <v>556</v>
      </c>
      <c r="N93" t="s">
        <v>557</v>
      </c>
      <c r="O93" t="s">
        <v>1049</v>
      </c>
      <c r="P93" t="s">
        <v>1050</v>
      </c>
      <c r="Q93" t="s">
        <v>1051</v>
      </c>
      <c r="R93" t="s">
        <v>1052</v>
      </c>
      <c r="S93" t="s">
        <v>1052</v>
      </c>
      <c r="T93" t="s">
        <v>1050</v>
      </c>
      <c r="U93" t="s">
        <v>1050</v>
      </c>
      <c r="V93" t="s">
        <v>1053</v>
      </c>
      <c r="W93" t="s">
        <v>1054</v>
      </c>
      <c r="X93" t="s">
        <v>1055</v>
      </c>
      <c r="Y93" t="s">
        <v>1056</v>
      </c>
      <c r="Z93">
        <v>13.51</v>
      </c>
      <c r="AA93">
        <v>13.51</v>
      </c>
      <c r="AB93" t="s">
        <v>1055</v>
      </c>
      <c r="AC93" t="s">
        <v>1055</v>
      </c>
      <c r="AD93" t="s">
        <v>1057</v>
      </c>
      <c r="AE93" t="s">
        <v>1058</v>
      </c>
      <c r="AF93" t="s">
        <v>1059</v>
      </c>
      <c r="AG93" t="s">
        <v>1060</v>
      </c>
      <c r="AH93" t="s">
        <v>1061</v>
      </c>
      <c r="AI93" t="s">
        <v>1061</v>
      </c>
      <c r="AJ93" t="s">
        <v>1059</v>
      </c>
      <c r="AK93" t="s">
        <v>1059</v>
      </c>
      <c r="AL93" t="s">
        <v>1062</v>
      </c>
      <c r="AM93" t="s">
        <v>555</v>
      </c>
    </row>
    <row r="94" spans="1:39" x14ac:dyDescent="0.35">
      <c r="A94" t="s">
        <v>39</v>
      </c>
      <c r="B94" t="s">
        <v>1063</v>
      </c>
      <c r="C94">
        <v>330997</v>
      </c>
      <c r="D94" t="s">
        <v>72</v>
      </c>
      <c r="E94" t="s">
        <v>1064</v>
      </c>
      <c r="F94" t="s">
        <v>568</v>
      </c>
      <c r="G94" t="s">
        <v>554</v>
      </c>
      <c r="H94" t="s">
        <v>45</v>
      </c>
      <c r="I94" t="s">
        <v>108</v>
      </c>
      <c r="J94" t="s">
        <v>78</v>
      </c>
      <c r="K94" t="s">
        <v>79</v>
      </c>
      <c r="L94" t="s">
        <v>1065</v>
      </c>
      <c r="M94" t="s">
        <v>556</v>
      </c>
      <c r="N94" t="s">
        <v>557</v>
      </c>
      <c r="O94" t="s">
        <v>1066</v>
      </c>
      <c r="P94" t="s">
        <v>1067</v>
      </c>
      <c r="Q94" t="s">
        <v>1068</v>
      </c>
      <c r="R94" t="s">
        <v>1069</v>
      </c>
      <c r="S94" t="s">
        <v>1069</v>
      </c>
      <c r="T94" t="s">
        <v>1067</v>
      </c>
      <c r="U94" t="s">
        <v>1067</v>
      </c>
      <c r="V94" t="s">
        <v>1067</v>
      </c>
      <c r="W94" t="s">
        <v>1070</v>
      </c>
      <c r="X94" t="s">
        <v>1071</v>
      </c>
      <c r="Y94" t="s">
        <v>982</v>
      </c>
      <c r="Z94">
        <v>1.88</v>
      </c>
      <c r="AA94">
        <v>1.88</v>
      </c>
      <c r="AB94" t="s">
        <v>1071</v>
      </c>
      <c r="AC94" t="s">
        <v>1071</v>
      </c>
      <c r="AD94" t="s">
        <v>1071</v>
      </c>
      <c r="AE94" t="s">
        <v>1072</v>
      </c>
      <c r="AF94" t="s">
        <v>1073</v>
      </c>
      <c r="AG94" t="s">
        <v>1074</v>
      </c>
      <c r="AH94" t="s">
        <v>1075</v>
      </c>
      <c r="AI94" t="s">
        <v>1075</v>
      </c>
      <c r="AJ94" t="s">
        <v>1073</v>
      </c>
      <c r="AK94" t="s">
        <v>1073</v>
      </c>
      <c r="AL94" t="s">
        <v>1073</v>
      </c>
      <c r="AM94" t="s">
        <v>1076</v>
      </c>
    </row>
    <row r="95" spans="1:39" x14ac:dyDescent="0.35">
      <c r="A95" t="s">
        <v>39</v>
      </c>
      <c r="B95" t="s">
        <v>1077</v>
      </c>
      <c r="C95">
        <v>330999</v>
      </c>
      <c r="D95" t="s">
        <v>72</v>
      </c>
      <c r="E95" t="s">
        <v>1078</v>
      </c>
      <c r="F95" t="s">
        <v>568</v>
      </c>
      <c r="G95" t="s">
        <v>554</v>
      </c>
      <c r="H95" t="s">
        <v>45</v>
      </c>
      <c r="I95" t="s">
        <v>108</v>
      </c>
      <c r="J95" t="s">
        <v>78</v>
      </c>
      <c r="K95" t="s">
        <v>79</v>
      </c>
      <c r="L95" t="s">
        <v>1065</v>
      </c>
      <c r="M95" t="s">
        <v>556</v>
      </c>
      <c r="N95" t="s">
        <v>557</v>
      </c>
      <c r="O95" t="s">
        <v>1079</v>
      </c>
      <c r="P95" t="s">
        <v>772</v>
      </c>
      <c r="Q95" t="s">
        <v>1080</v>
      </c>
      <c r="R95" t="s">
        <v>1081</v>
      </c>
      <c r="S95" t="s">
        <v>1081</v>
      </c>
      <c r="T95" t="s">
        <v>772</v>
      </c>
      <c r="U95" t="s">
        <v>772</v>
      </c>
      <c r="V95" t="s">
        <v>772</v>
      </c>
      <c r="W95" t="s">
        <v>964</v>
      </c>
      <c r="X95" t="s">
        <v>786</v>
      </c>
      <c r="Y95" t="s">
        <v>1082</v>
      </c>
      <c r="Z95">
        <v>0.94</v>
      </c>
      <c r="AA95">
        <v>0.94</v>
      </c>
      <c r="AB95" t="s">
        <v>786</v>
      </c>
      <c r="AC95" t="s">
        <v>786</v>
      </c>
      <c r="AD95" t="s">
        <v>786</v>
      </c>
      <c r="AE95" t="s">
        <v>1083</v>
      </c>
      <c r="AF95" t="s">
        <v>1084</v>
      </c>
      <c r="AG95" t="s">
        <v>1085</v>
      </c>
      <c r="AH95" t="s">
        <v>1086</v>
      </c>
      <c r="AI95" t="s">
        <v>1086</v>
      </c>
      <c r="AJ95" t="s">
        <v>1084</v>
      </c>
      <c r="AK95" t="s">
        <v>1084</v>
      </c>
      <c r="AL95" t="s">
        <v>1084</v>
      </c>
      <c r="AM95" t="s">
        <v>1076</v>
      </c>
    </row>
    <row r="96" spans="1:39" x14ac:dyDescent="0.35">
      <c r="A96" t="s">
        <v>39</v>
      </c>
      <c r="B96" t="s">
        <v>1087</v>
      </c>
      <c r="C96">
        <v>331010</v>
      </c>
      <c r="D96" t="s">
        <v>72</v>
      </c>
      <c r="E96" t="s">
        <v>1088</v>
      </c>
      <c r="F96" t="s">
        <v>568</v>
      </c>
      <c r="G96" t="s">
        <v>554</v>
      </c>
      <c r="H96" t="s">
        <v>45</v>
      </c>
      <c r="I96" t="s">
        <v>108</v>
      </c>
      <c r="J96" t="s">
        <v>78</v>
      </c>
      <c r="K96" t="s">
        <v>79</v>
      </c>
      <c r="L96" t="s">
        <v>1065</v>
      </c>
      <c r="M96" t="s">
        <v>556</v>
      </c>
      <c r="N96" t="s">
        <v>557</v>
      </c>
      <c r="O96" t="s">
        <v>1089</v>
      </c>
      <c r="P96" t="s">
        <v>166</v>
      </c>
      <c r="Q96" t="s">
        <v>166</v>
      </c>
      <c r="R96" t="s">
        <v>1090</v>
      </c>
      <c r="S96" t="s">
        <v>1090</v>
      </c>
      <c r="T96" t="s">
        <v>335</v>
      </c>
      <c r="U96" t="s">
        <v>335</v>
      </c>
      <c r="V96" t="s">
        <v>1091</v>
      </c>
      <c r="W96" t="s">
        <v>1092</v>
      </c>
      <c r="X96" t="s">
        <v>561</v>
      </c>
      <c r="Y96" t="s">
        <v>561</v>
      </c>
      <c r="Z96">
        <v>0.69</v>
      </c>
      <c r="AA96">
        <v>0.69</v>
      </c>
      <c r="AB96" t="s">
        <v>1093</v>
      </c>
      <c r="AC96" t="s">
        <v>1093</v>
      </c>
      <c r="AD96" t="s">
        <v>1094</v>
      </c>
      <c r="AE96" t="s">
        <v>1095</v>
      </c>
      <c r="AF96" t="s">
        <v>1096</v>
      </c>
      <c r="AG96" t="s">
        <v>1096</v>
      </c>
      <c r="AH96" t="s">
        <v>1097</v>
      </c>
      <c r="AI96" t="s">
        <v>1097</v>
      </c>
      <c r="AJ96" t="s">
        <v>1098</v>
      </c>
      <c r="AK96" t="s">
        <v>1098</v>
      </c>
      <c r="AL96" t="s">
        <v>1099</v>
      </c>
      <c r="AM96" t="s">
        <v>1076</v>
      </c>
    </row>
    <row r="97" spans="1:39" x14ac:dyDescent="0.35">
      <c r="A97" t="s">
        <v>39</v>
      </c>
      <c r="B97" t="s">
        <v>1100</v>
      </c>
      <c r="C97">
        <v>331011</v>
      </c>
      <c r="D97" t="s">
        <v>72</v>
      </c>
      <c r="E97" t="s">
        <v>1101</v>
      </c>
      <c r="F97" t="s">
        <v>568</v>
      </c>
      <c r="G97" t="s">
        <v>554</v>
      </c>
      <c r="H97" t="s">
        <v>45</v>
      </c>
      <c r="I97" t="s">
        <v>108</v>
      </c>
      <c r="J97" t="s">
        <v>78</v>
      </c>
      <c r="K97" t="s">
        <v>79</v>
      </c>
      <c r="L97" t="s">
        <v>1065</v>
      </c>
      <c r="M97" t="s">
        <v>556</v>
      </c>
      <c r="N97" t="s">
        <v>557</v>
      </c>
      <c r="O97" t="s">
        <v>1102</v>
      </c>
      <c r="P97" t="s">
        <v>1103</v>
      </c>
      <c r="Q97" t="s">
        <v>1104</v>
      </c>
      <c r="R97" t="s">
        <v>523</v>
      </c>
      <c r="S97" t="s">
        <v>523</v>
      </c>
      <c r="T97" t="s">
        <v>1103</v>
      </c>
      <c r="U97" t="s">
        <v>1103</v>
      </c>
      <c r="V97" t="s">
        <v>1103</v>
      </c>
      <c r="W97" t="s">
        <v>1105</v>
      </c>
      <c r="X97" t="s">
        <v>561</v>
      </c>
      <c r="Y97" t="s">
        <v>1106</v>
      </c>
      <c r="Z97">
        <v>0.47</v>
      </c>
      <c r="AA97">
        <v>0.47</v>
      </c>
      <c r="AB97" t="s">
        <v>561</v>
      </c>
      <c r="AC97" t="s">
        <v>561</v>
      </c>
      <c r="AD97" t="s">
        <v>561</v>
      </c>
      <c r="AE97" t="s">
        <v>1107</v>
      </c>
      <c r="AF97" t="s">
        <v>1096</v>
      </c>
      <c r="AG97" t="s">
        <v>1108</v>
      </c>
      <c r="AH97" t="s">
        <v>1109</v>
      </c>
      <c r="AI97" t="s">
        <v>1109</v>
      </c>
      <c r="AJ97" t="s">
        <v>1096</v>
      </c>
      <c r="AK97" t="s">
        <v>1096</v>
      </c>
      <c r="AL97" t="s">
        <v>1096</v>
      </c>
      <c r="AM97" t="s">
        <v>1076</v>
      </c>
    </row>
    <row r="98" spans="1:39" x14ac:dyDescent="0.35">
      <c r="A98" t="s">
        <v>39</v>
      </c>
      <c r="B98" t="s">
        <v>1110</v>
      </c>
      <c r="C98">
        <v>352999</v>
      </c>
      <c r="D98" t="s">
        <v>72</v>
      </c>
      <c r="E98" t="s">
        <v>1111</v>
      </c>
      <c r="F98" t="s">
        <v>568</v>
      </c>
      <c r="G98" t="s">
        <v>554</v>
      </c>
      <c r="H98" t="s">
        <v>45</v>
      </c>
      <c r="I98" t="s">
        <v>108</v>
      </c>
      <c r="J98" t="s">
        <v>78</v>
      </c>
      <c r="K98" t="s">
        <v>79</v>
      </c>
      <c r="L98" t="s">
        <v>555</v>
      </c>
      <c r="M98" t="s">
        <v>556</v>
      </c>
      <c r="N98" t="s">
        <v>557</v>
      </c>
      <c r="O98" t="s">
        <v>1112</v>
      </c>
      <c r="P98" t="s">
        <v>52</v>
      </c>
      <c r="Q98" t="s">
        <v>52</v>
      </c>
      <c r="R98" t="s">
        <v>52</v>
      </c>
      <c r="S98" t="s">
        <v>52</v>
      </c>
      <c r="T98" t="s">
        <v>52</v>
      </c>
      <c r="U98" t="s">
        <v>52</v>
      </c>
      <c r="V98" t="s">
        <v>52</v>
      </c>
      <c r="W98" t="s">
        <v>1113</v>
      </c>
      <c r="X98" t="s">
        <v>52</v>
      </c>
      <c r="Y98" t="s">
        <v>52</v>
      </c>
      <c r="Z98">
        <v>0</v>
      </c>
      <c r="AA98">
        <v>0</v>
      </c>
      <c r="AB98" t="s">
        <v>52</v>
      </c>
      <c r="AC98" t="s">
        <v>52</v>
      </c>
      <c r="AD98" t="s">
        <v>52</v>
      </c>
      <c r="AE98" t="s">
        <v>1114</v>
      </c>
      <c r="AF98" t="s">
        <v>52</v>
      </c>
      <c r="AG98" t="s">
        <v>52</v>
      </c>
      <c r="AH98" t="s">
        <v>52</v>
      </c>
      <c r="AI98" t="s">
        <v>52</v>
      </c>
      <c r="AJ98" t="s">
        <v>52</v>
      </c>
      <c r="AK98" t="s">
        <v>52</v>
      </c>
      <c r="AL98" t="s">
        <v>52</v>
      </c>
      <c r="AM98" t="s">
        <v>555</v>
      </c>
    </row>
    <row r="99" spans="1:39" x14ac:dyDescent="0.35">
      <c r="A99" t="s">
        <v>39</v>
      </c>
      <c r="B99" t="s">
        <v>1115</v>
      </c>
      <c r="C99">
        <v>353000</v>
      </c>
      <c r="D99" t="s">
        <v>72</v>
      </c>
      <c r="E99" t="s">
        <v>1116</v>
      </c>
      <c r="F99" t="s">
        <v>568</v>
      </c>
      <c r="G99" t="s">
        <v>554</v>
      </c>
      <c r="H99" t="s">
        <v>45</v>
      </c>
      <c r="I99" t="s">
        <v>108</v>
      </c>
      <c r="J99" t="s">
        <v>78</v>
      </c>
      <c r="K99" t="s">
        <v>79</v>
      </c>
      <c r="L99" t="s">
        <v>555</v>
      </c>
      <c r="M99" t="s">
        <v>556</v>
      </c>
      <c r="N99" t="s">
        <v>557</v>
      </c>
      <c r="O99" t="s">
        <v>1117</v>
      </c>
      <c r="P99" t="s">
        <v>52</v>
      </c>
      <c r="Q99" t="s">
        <v>52</v>
      </c>
      <c r="R99" t="s">
        <v>52</v>
      </c>
      <c r="S99" t="s">
        <v>52</v>
      </c>
      <c r="T99" t="s">
        <v>52</v>
      </c>
      <c r="U99" t="s">
        <v>52</v>
      </c>
      <c r="V99" t="s">
        <v>52</v>
      </c>
      <c r="W99" t="s">
        <v>1118</v>
      </c>
      <c r="X99" t="s">
        <v>52</v>
      </c>
      <c r="Y99" t="s">
        <v>52</v>
      </c>
      <c r="Z99">
        <v>0</v>
      </c>
      <c r="AA99">
        <v>0</v>
      </c>
      <c r="AB99" t="s">
        <v>52</v>
      </c>
      <c r="AC99" t="s">
        <v>52</v>
      </c>
      <c r="AD99" t="s">
        <v>52</v>
      </c>
      <c r="AE99" t="s">
        <v>1119</v>
      </c>
      <c r="AF99" t="s">
        <v>52</v>
      </c>
      <c r="AG99" t="s">
        <v>52</v>
      </c>
      <c r="AH99" t="s">
        <v>52</v>
      </c>
      <c r="AI99" t="s">
        <v>52</v>
      </c>
      <c r="AJ99" t="s">
        <v>52</v>
      </c>
      <c r="AK99" t="s">
        <v>52</v>
      </c>
      <c r="AL99" t="s">
        <v>52</v>
      </c>
      <c r="AM99" t="s">
        <v>555</v>
      </c>
    </row>
    <row r="100" spans="1:39" x14ac:dyDescent="0.35">
      <c r="A100" t="s">
        <v>39</v>
      </c>
      <c r="B100" t="s">
        <v>1120</v>
      </c>
      <c r="C100">
        <v>353001</v>
      </c>
      <c r="D100" t="s">
        <v>72</v>
      </c>
      <c r="E100" t="s">
        <v>1121</v>
      </c>
      <c r="F100" t="s">
        <v>568</v>
      </c>
      <c r="G100" t="s">
        <v>554</v>
      </c>
      <c r="H100" t="s">
        <v>45</v>
      </c>
      <c r="I100" t="s">
        <v>108</v>
      </c>
      <c r="J100" t="s">
        <v>78</v>
      </c>
      <c r="K100" t="s">
        <v>79</v>
      </c>
      <c r="L100" t="s">
        <v>555</v>
      </c>
      <c r="M100" t="s">
        <v>556</v>
      </c>
      <c r="N100" t="s">
        <v>557</v>
      </c>
      <c r="O100" t="s">
        <v>1122</v>
      </c>
      <c r="P100" t="s">
        <v>52</v>
      </c>
      <c r="Q100" t="s">
        <v>52</v>
      </c>
      <c r="R100" t="s">
        <v>52</v>
      </c>
      <c r="S100" t="s">
        <v>52</v>
      </c>
      <c r="T100" t="s">
        <v>52</v>
      </c>
      <c r="U100" t="s">
        <v>52</v>
      </c>
      <c r="V100" t="s">
        <v>52</v>
      </c>
      <c r="W100" t="s">
        <v>1118</v>
      </c>
      <c r="X100" t="s">
        <v>52</v>
      </c>
      <c r="Y100" t="s">
        <v>52</v>
      </c>
      <c r="Z100">
        <v>0</v>
      </c>
      <c r="AA100">
        <v>0</v>
      </c>
      <c r="AB100" t="s">
        <v>52</v>
      </c>
      <c r="AC100" t="s">
        <v>52</v>
      </c>
      <c r="AD100" t="s">
        <v>52</v>
      </c>
      <c r="AE100" t="s">
        <v>1123</v>
      </c>
      <c r="AF100" t="s">
        <v>52</v>
      </c>
      <c r="AG100" t="s">
        <v>52</v>
      </c>
      <c r="AH100" t="s">
        <v>52</v>
      </c>
      <c r="AI100" t="s">
        <v>52</v>
      </c>
      <c r="AJ100" t="s">
        <v>52</v>
      </c>
      <c r="AK100" t="s">
        <v>52</v>
      </c>
      <c r="AL100" t="s">
        <v>52</v>
      </c>
      <c r="AM100" t="s">
        <v>555</v>
      </c>
    </row>
    <row r="101" spans="1:39" x14ac:dyDescent="0.35">
      <c r="A101" t="s">
        <v>39</v>
      </c>
      <c r="B101" t="s">
        <v>1124</v>
      </c>
      <c r="C101">
        <v>353004</v>
      </c>
      <c r="D101" t="s">
        <v>72</v>
      </c>
      <c r="E101" t="s">
        <v>1125</v>
      </c>
      <c r="F101" t="s">
        <v>568</v>
      </c>
      <c r="G101" t="s">
        <v>554</v>
      </c>
      <c r="H101" t="s">
        <v>45</v>
      </c>
      <c r="I101" t="s">
        <v>108</v>
      </c>
      <c r="J101" t="s">
        <v>78</v>
      </c>
      <c r="K101" t="s">
        <v>79</v>
      </c>
      <c r="L101" t="s">
        <v>555</v>
      </c>
      <c r="M101" t="s">
        <v>556</v>
      </c>
      <c r="N101" t="s">
        <v>557</v>
      </c>
      <c r="O101" t="s">
        <v>1126</v>
      </c>
      <c r="P101" t="s">
        <v>52</v>
      </c>
      <c r="Q101" t="s">
        <v>52</v>
      </c>
      <c r="R101" t="s">
        <v>52</v>
      </c>
      <c r="S101" t="s">
        <v>52</v>
      </c>
      <c r="T101" t="s">
        <v>52</v>
      </c>
      <c r="U101" t="s">
        <v>52</v>
      </c>
      <c r="V101" t="s">
        <v>52</v>
      </c>
      <c r="W101" t="s">
        <v>1127</v>
      </c>
      <c r="X101" t="s">
        <v>52</v>
      </c>
      <c r="Y101" t="s">
        <v>52</v>
      </c>
      <c r="Z101">
        <v>0</v>
      </c>
      <c r="AA101">
        <v>0</v>
      </c>
      <c r="AB101" t="s">
        <v>52</v>
      </c>
      <c r="AC101" t="s">
        <v>52</v>
      </c>
      <c r="AD101" t="s">
        <v>52</v>
      </c>
      <c r="AE101" t="s">
        <v>1128</v>
      </c>
      <c r="AF101" t="s">
        <v>52</v>
      </c>
      <c r="AG101" t="s">
        <v>52</v>
      </c>
      <c r="AH101" t="s">
        <v>52</v>
      </c>
      <c r="AI101" t="s">
        <v>52</v>
      </c>
      <c r="AJ101" t="s">
        <v>52</v>
      </c>
      <c r="AK101" t="s">
        <v>52</v>
      </c>
      <c r="AL101" t="s">
        <v>52</v>
      </c>
      <c r="AM101" t="s">
        <v>555</v>
      </c>
    </row>
    <row r="102" spans="1:39" x14ac:dyDescent="0.35">
      <c r="A102" t="s">
        <v>39</v>
      </c>
      <c r="B102" t="s">
        <v>1129</v>
      </c>
      <c r="C102">
        <v>334901</v>
      </c>
      <c r="D102" t="s">
        <v>72</v>
      </c>
      <c r="E102" t="s">
        <v>1130</v>
      </c>
      <c r="F102" t="s">
        <v>568</v>
      </c>
      <c r="G102" t="s">
        <v>554</v>
      </c>
      <c r="H102" t="s">
        <v>45</v>
      </c>
      <c r="I102" t="s">
        <v>108</v>
      </c>
      <c r="J102" t="s">
        <v>78</v>
      </c>
      <c r="K102" t="s">
        <v>79</v>
      </c>
      <c r="L102" t="s">
        <v>1065</v>
      </c>
      <c r="M102" t="s">
        <v>556</v>
      </c>
      <c r="N102" t="s">
        <v>557</v>
      </c>
      <c r="O102" t="s">
        <v>1131</v>
      </c>
      <c r="P102" t="s">
        <v>166</v>
      </c>
      <c r="Q102" t="s">
        <v>1132</v>
      </c>
      <c r="R102" t="s">
        <v>1133</v>
      </c>
      <c r="S102" t="s">
        <v>1133</v>
      </c>
      <c r="T102" t="s">
        <v>166</v>
      </c>
      <c r="U102" t="s">
        <v>166</v>
      </c>
      <c r="V102" t="s">
        <v>334</v>
      </c>
      <c r="W102" t="s">
        <v>1134</v>
      </c>
      <c r="X102" t="s">
        <v>1135</v>
      </c>
      <c r="Y102" t="s">
        <v>704</v>
      </c>
      <c r="Z102">
        <v>1.1399999999999999</v>
      </c>
      <c r="AA102">
        <v>1.1399999999999999</v>
      </c>
      <c r="AB102" t="s">
        <v>1135</v>
      </c>
      <c r="AC102" t="s">
        <v>1135</v>
      </c>
      <c r="AD102" t="s">
        <v>1136</v>
      </c>
      <c r="AE102" t="s">
        <v>1137</v>
      </c>
      <c r="AF102" t="s">
        <v>1138</v>
      </c>
      <c r="AG102" t="s">
        <v>1139</v>
      </c>
      <c r="AH102" t="s">
        <v>1140</v>
      </c>
      <c r="AI102" t="s">
        <v>1140</v>
      </c>
      <c r="AJ102" t="s">
        <v>1138</v>
      </c>
      <c r="AK102" t="s">
        <v>1138</v>
      </c>
      <c r="AL102" t="s">
        <v>1141</v>
      </c>
      <c r="AM102" t="s">
        <v>1076</v>
      </c>
    </row>
    <row r="103" spans="1:39" x14ac:dyDescent="0.35">
      <c r="A103" t="s">
        <v>39</v>
      </c>
      <c r="B103" t="s">
        <v>1142</v>
      </c>
      <c r="C103">
        <v>334903</v>
      </c>
      <c r="D103" t="s">
        <v>72</v>
      </c>
      <c r="E103" t="s">
        <v>1143</v>
      </c>
      <c r="F103" t="s">
        <v>568</v>
      </c>
      <c r="G103" t="s">
        <v>554</v>
      </c>
      <c r="H103" t="s">
        <v>45</v>
      </c>
      <c r="I103" t="s">
        <v>108</v>
      </c>
      <c r="J103" t="s">
        <v>78</v>
      </c>
      <c r="K103" t="s">
        <v>79</v>
      </c>
      <c r="L103" t="s">
        <v>1065</v>
      </c>
      <c r="M103" t="s">
        <v>556</v>
      </c>
      <c r="N103" t="s">
        <v>557</v>
      </c>
      <c r="O103" t="s">
        <v>1144</v>
      </c>
      <c r="P103" t="s">
        <v>335</v>
      </c>
      <c r="Q103" t="s">
        <v>1145</v>
      </c>
      <c r="R103" t="s">
        <v>1146</v>
      </c>
      <c r="S103" t="s">
        <v>1146</v>
      </c>
      <c r="T103" t="s">
        <v>335</v>
      </c>
      <c r="U103" t="s">
        <v>1145</v>
      </c>
      <c r="V103" t="s">
        <v>335</v>
      </c>
      <c r="W103" t="s">
        <v>1147</v>
      </c>
      <c r="X103" t="s">
        <v>1147</v>
      </c>
      <c r="Y103" t="s">
        <v>1105</v>
      </c>
      <c r="Z103">
        <v>0.62</v>
      </c>
      <c r="AA103">
        <v>0.62</v>
      </c>
      <c r="AB103" t="s">
        <v>1147</v>
      </c>
      <c r="AC103" t="s">
        <v>1105</v>
      </c>
      <c r="AD103" t="s">
        <v>1147</v>
      </c>
      <c r="AE103" t="s">
        <v>1148</v>
      </c>
      <c r="AF103" t="s">
        <v>1149</v>
      </c>
      <c r="AG103" t="s">
        <v>1150</v>
      </c>
      <c r="AH103" t="s">
        <v>1151</v>
      </c>
      <c r="AI103" t="s">
        <v>1151</v>
      </c>
      <c r="AJ103" t="s">
        <v>1149</v>
      </c>
      <c r="AK103" t="s">
        <v>1150</v>
      </c>
      <c r="AL103" t="s">
        <v>1149</v>
      </c>
      <c r="AM103" t="s">
        <v>1076</v>
      </c>
    </row>
    <row r="104" spans="1:39" x14ac:dyDescent="0.35">
      <c r="A104" t="s">
        <v>39</v>
      </c>
      <c r="B104" t="s">
        <v>1152</v>
      </c>
      <c r="C104">
        <v>350181</v>
      </c>
      <c r="D104" t="s">
        <v>72</v>
      </c>
      <c r="E104" t="s">
        <v>1153</v>
      </c>
      <c r="F104" t="s">
        <v>281</v>
      </c>
      <c r="G104" t="s">
        <v>1154</v>
      </c>
      <c r="H104" t="s">
        <v>76</v>
      </c>
      <c r="I104" t="s">
        <v>283</v>
      </c>
      <c r="J104" t="s">
        <v>78</v>
      </c>
      <c r="K104" t="s">
        <v>79</v>
      </c>
      <c r="L104" t="s">
        <v>1155</v>
      </c>
      <c r="M104" t="s">
        <v>935</v>
      </c>
      <c r="N104" t="s">
        <v>1156</v>
      </c>
      <c r="O104" t="s">
        <v>1157</v>
      </c>
      <c r="P104" t="s">
        <v>223</v>
      </c>
      <c r="Q104" t="s">
        <v>1158</v>
      </c>
      <c r="R104" t="s">
        <v>1159</v>
      </c>
      <c r="S104" t="s">
        <v>1159</v>
      </c>
      <c r="T104" t="s">
        <v>223</v>
      </c>
      <c r="U104" t="s">
        <v>223</v>
      </c>
      <c r="V104" t="s">
        <v>1160</v>
      </c>
      <c r="W104" t="s">
        <v>1161</v>
      </c>
      <c r="X104" t="s">
        <v>1162</v>
      </c>
      <c r="Y104" t="s">
        <v>1163</v>
      </c>
      <c r="Z104">
        <v>4.3499999999999996</v>
      </c>
      <c r="AA104">
        <v>4.3499999999999996</v>
      </c>
      <c r="AB104" t="s">
        <v>1162</v>
      </c>
      <c r="AC104" t="s">
        <v>1162</v>
      </c>
      <c r="AD104" t="s">
        <v>1164</v>
      </c>
      <c r="AE104" t="s">
        <v>1165</v>
      </c>
      <c r="AF104" t="s">
        <v>1166</v>
      </c>
      <c r="AG104" t="s">
        <v>1167</v>
      </c>
      <c r="AH104" t="s">
        <v>1168</v>
      </c>
      <c r="AI104" t="s">
        <v>1168</v>
      </c>
      <c r="AJ104" t="s">
        <v>1166</v>
      </c>
      <c r="AK104" t="s">
        <v>1166</v>
      </c>
      <c r="AL104" t="s">
        <v>1169</v>
      </c>
      <c r="AM104" t="s">
        <v>1170</v>
      </c>
    </row>
    <row r="105" spans="1:39" x14ac:dyDescent="0.35">
      <c r="A105" t="s">
        <v>39</v>
      </c>
      <c r="B105" t="s">
        <v>1171</v>
      </c>
      <c r="C105">
        <v>350592</v>
      </c>
      <c r="D105" t="s">
        <v>72</v>
      </c>
      <c r="E105" t="s">
        <v>1172</v>
      </c>
      <c r="F105" t="s">
        <v>1173</v>
      </c>
      <c r="G105" t="s">
        <v>1174</v>
      </c>
      <c r="H105" t="s">
        <v>45</v>
      </c>
      <c r="I105" t="s">
        <v>283</v>
      </c>
      <c r="J105" t="s">
        <v>78</v>
      </c>
      <c r="K105" t="s">
        <v>79</v>
      </c>
      <c r="L105" t="s">
        <v>1175</v>
      </c>
      <c r="M105" t="s">
        <v>882</v>
      </c>
      <c r="N105" t="s">
        <v>1176</v>
      </c>
      <c r="O105" t="s">
        <v>1177</v>
      </c>
      <c r="P105" t="s">
        <v>52</v>
      </c>
      <c r="Q105" t="s">
        <v>52</v>
      </c>
      <c r="R105" t="s">
        <v>52</v>
      </c>
      <c r="S105" t="s">
        <v>52</v>
      </c>
      <c r="T105" t="s">
        <v>52</v>
      </c>
      <c r="U105" t="s">
        <v>52</v>
      </c>
      <c r="V105" t="s">
        <v>52</v>
      </c>
      <c r="W105" t="s">
        <v>1178</v>
      </c>
      <c r="X105" t="s">
        <v>52</v>
      </c>
      <c r="Y105" t="s">
        <v>52</v>
      </c>
      <c r="Z105">
        <v>0</v>
      </c>
      <c r="AA105">
        <v>0</v>
      </c>
      <c r="AB105" t="s">
        <v>52</v>
      </c>
      <c r="AC105" t="s">
        <v>52</v>
      </c>
      <c r="AD105" t="s">
        <v>52</v>
      </c>
      <c r="AE105" t="s">
        <v>1179</v>
      </c>
      <c r="AF105" t="s">
        <v>52</v>
      </c>
      <c r="AG105" t="s">
        <v>52</v>
      </c>
      <c r="AH105" t="s">
        <v>52</v>
      </c>
      <c r="AI105" t="s">
        <v>52</v>
      </c>
      <c r="AJ105" t="s">
        <v>52</v>
      </c>
      <c r="AK105" t="s">
        <v>52</v>
      </c>
      <c r="AL105" t="s">
        <v>52</v>
      </c>
      <c r="AM105" t="s">
        <v>1180</v>
      </c>
    </row>
    <row r="106" spans="1:39" x14ac:dyDescent="0.35">
      <c r="A106" t="s">
        <v>39</v>
      </c>
      <c r="B106" t="s">
        <v>1181</v>
      </c>
      <c r="C106">
        <v>351695</v>
      </c>
      <c r="D106" t="s">
        <v>72</v>
      </c>
      <c r="E106" t="s">
        <v>1182</v>
      </c>
      <c r="F106" t="s">
        <v>752</v>
      </c>
      <c r="G106" t="s">
        <v>554</v>
      </c>
      <c r="H106" t="s">
        <v>45</v>
      </c>
      <c r="I106" t="s">
        <v>108</v>
      </c>
      <c r="J106" t="s">
        <v>78</v>
      </c>
      <c r="K106" t="s">
        <v>79</v>
      </c>
      <c r="L106" t="s">
        <v>555</v>
      </c>
      <c r="M106" t="s">
        <v>556</v>
      </c>
      <c r="N106" t="s">
        <v>557</v>
      </c>
      <c r="O106" t="s">
        <v>1183</v>
      </c>
      <c r="P106" t="s">
        <v>1184</v>
      </c>
      <c r="Q106" t="s">
        <v>1185</v>
      </c>
      <c r="R106" t="s">
        <v>1186</v>
      </c>
      <c r="S106" t="s">
        <v>1186</v>
      </c>
      <c r="T106" t="s">
        <v>1184</v>
      </c>
      <c r="U106" t="s">
        <v>1184</v>
      </c>
      <c r="V106" t="s">
        <v>1184</v>
      </c>
      <c r="W106" t="s">
        <v>1187</v>
      </c>
      <c r="X106" t="s">
        <v>1188</v>
      </c>
      <c r="Y106" t="s">
        <v>1189</v>
      </c>
      <c r="Z106">
        <v>9.26</v>
      </c>
      <c r="AA106">
        <v>9.26</v>
      </c>
      <c r="AB106" t="s">
        <v>1188</v>
      </c>
      <c r="AC106" t="s">
        <v>1188</v>
      </c>
      <c r="AD106" t="s">
        <v>1188</v>
      </c>
      <c r="AE106" t="s">
        <v>1190</v>
      </c>
      <c r="AF106" t="s">
        <v>1191</v>
      </c>
      <c r="AG106" t="s">
        <v>1192</v>
      </c>
      <c r="AH106" t="s">
        <v>1193</v>
      </c>
      <c r="AI106" t="s">
        <v>1193</v>
      </c>
      <c r="AJ106" t="s">
        <v>1191</v>
      </c>
      <c r="AK106" t="s">
        <v>1191</v>
      </c>
      <c r="AL106" t="s">
        <v>1191</v>
      </c>
      <c r="AM106" t="s">
        <v>555</v>
      </c>
    </row>
    <row r="107" spans="1:39" x14ac:dyDescent="0.35">
      <c r="A107" t="s">
        <v>39</v>
      </c>
      <c r="B107" t="s">
        <v>1194</v>
      </c>
      <c r="C107">
        <v>351693</v>
      </c>
      <c r="D107" t="s">
        <v>72</v>
      </c>
      <c r="E107" t="s">
        <v>1195</v>
      </c>
      <c r="F107" t="s">
        <v>752</v>
      </c>
      <c r="G107" t="s">
        <v>554</v>
      </c>
      <c r="H107" t="s">
        <v>45</v>
      </c>
      <c r="I107" t="s">
        <v>108</v>
      </c>
      <c r="J107" t="s">
        <v>78</v>
      </c>
      <c r="K107" t="s">
        <v>79</v>
      </c>
      <c r="L107" t="s">
        <v>555</v>
      </c>
      <c r="M107" t="s">
        <v>556</v>
      </c>
      <c r="N107" t="s">
        <v>557</v>
      </c>
      <c r="O107" t="s">
        <v>1196</v>
      </c>
      <c r="P107" t="s">
        <v>1197</v>
      </c>
      <c r="Q107" t="s">
        <v>1198</v>
      </c>
      <c r="R107" t="s">
        <v>1199</v>
      </c>
      <c r="S107" t="s">
        <v>1199</v>
      </c>
      <c r="T107" t="s">
        <v>1200</v>
      </c>
      <c r="U107" t="s">
        <v>1201</v>
      </c>
      <c r="V107" t="s">
        <v>1200</v>
      </c>
      <c r="W107" t="s">
        <v>1202</v>
      </c>
      <c r="X107" t="s">
        <v>1136</v>
      </c>
      <c r="Y107" t="s">
        <v>1203</v>
      </c>
      <c r="Z107">
        <v>1.46</v>
      </c>
      <c r="AA107">
        <v>1.46</v>
      </c>
      <c r="AB107" t="s">
        <v>1204</v>
      </c>
      <c r="AC107" t="s">
        <v>1136</v>
      </c>
      <c r="AD107" t="s">
        <v>1204</v>
      </c>
      <c r="AE107" t="s">
        <v>1205</v>
      </c>
      <c r="AF107" t="s">
        <v>1206</v>
      </c>
      <c r="AG107" t="s">
        <v>1207</v>
      </c>
      <c r="AH107" t="s">
        <v>1208</v>
      </c>
      <c r="AI107" t="s">
        <v>1208</v>
      </c>
      <c r="AJ107" t="s">
        <v>1209</v>
      </c>
      <c r="AK107" t="s">
        <v>1210</v>
      </c>
      <c r="AL107" t="s">
        <v>1209</v>
      </c>
      <c r="AM107" t="s">
        <v>555</v>
      </c>
    </row>
    <row r="108" spans="1:39" x14ac:dyDescent="0.35">
      <c r="A108" t="s">
        <v>39</v>
      </c>
      <c r="B108" t="s">
        <v>1211</v>
      </c>
      <c r="C108">
        <v>351694</v>
      </c>
      <c r="D108" t="s">
        <v>72</v>
      </c>
      <c r="E108" t="s">
        <v>1212</v>
      </c>
      <c r="F108" t="s">
        <v>752</v>
      </c>
      <c r="G108" t="s">
        <v>554</v>
      </c>
      <c r="H108" t="s">
        <v>45</v>
      </c>
      <c r="I108" t="s">
        <v>108</v>
      </c>
      <c r="J108" t="s">
        <v>78</v>
      </c>
      <c r="K108" t="s">
        <v>79</v>
      </c>
      <c r="L108" t="s">
        <v>555</v>
      </c>
      <c r="M108" t="s">
        <v>556</v>
      </c>
      <c r="N108" t="s">
        <v>557</v>
      </c>
      <c r="O108" t="s">
        <v>1213</v>
      </c>
      <c r="P108" t="s">
        <v>1214</v>
      </c>
      <c r="Q108" t="s">
        <v>1215</v>
      </c>
      <c r="R108" t="s">
        <v>1216</v>
      </c>
      <c r="S108" t="s">
        <v>1216</v>
      </c>
      <c r="T108" t="s">
        <v>1217</v>
      </c>
      <c r="U108" t="s">
        <v>1217</v>
      </c>
      <c r="V108" t="s">
        <v>1218</v>
      </c>
      <c r="W108" t="s">
        <v>1219</v>
      </c>
      <c r="X108" t="s">
        <v>180</v>
      </c>
      <c r="Y108" t="s">
        <v>1220</v>
      </c>
      <c r="Z108">
        <v>0.8</v>
      </c>
      <c r="AA108">
        <v>0.8</v>
      </c>
      <c r="AB108" t="s">
        <v>180</v>
      </c>
      <c r="AC108" t="s">
        <v>180</v>
      </c>
      <c r="AD108" t="s">
        <v>1221</v>
      </c>
      <c r="AE108" t="s">
        <v>1222</v>
      </c>
      <c r="AF108" t="s">
        <v>1223</v>
      </c>
      <c r="AG108" t="s">
        <v>1224</v>
      </c>
      <c r="AH108" t="s">
        <v>1225</v>
      </c>
      <c r="AI108" t="s">
        <v>1225</v>
      </c>
      <c r="AJ108" t="s">
        <v>1226</v>
      </c>
      <c r="AK108" t="s">
        <v>1226</v>
      </c>
      <c r="AL108" t="s">
        <v>1227</v>
      </c>
      <c r="AM108" t="s">
        <v>555</v>
      </c>
    </row>
    <row r="109" spans="1:39" x14ac:dyDescent="0.35">
      <c r="A109" t="s">
        <v>39</v>
      </c>
      <c r="B109" t="s">
        <v>1228</v>
      </c>
      <c r="C109">
        <v>351665</v>
      </c>
      <c r="D109" t="s">
        <v>72</v>
      </c>
      <c r="E109" t="s">
        <v>1229</v>
      </c>
      <c r="F109" t="s">
        <v>116</v>
      </c>
      <c r="G109" t="s">
        <v>75</v>
      </c>
      <c r="H109" t="s">
        <v>45</v>
      </c>
      <c r="I109" t="s">
        <v>108</v>
      </c>
      <c r="J109" t="s">
        <v>78</v>
      </c>
      <c r="K109" t="s">
        <v>79</v>
      </c>
      <c r="L109" t="s">
        <v>117</v>
      </c>
      <c r="M109" t="s">
        <v>81</v>
      </c>
      <c r="N109" t="s">
        <v>82</v>
      </c>
      <c r="O109" t="s">
        <v>1230</v>
      </c>
      <c r="P109" t="s">
        <v>1231</v>
      </c>
      <c r="Q109" t="s">
        <v>1232</v>
      </c>
      <c r="R109" t="s">
        <v>1233</v>
      </c>
      <c r="S109" t="s">
        <v>1234</v>
      </c>
      <c r="T109" t="s">
        <v>1231</v>
      </c>
      <c r="U109" t="s">
        <v>1235</v>
      </c>
      <c r="V109" t="s">
        <v>1236</v>
      </c>
      <c r="W109" t="s">
        <v>1237</v>
      </c>
      <c r="X109" t="s">
        <v>1238</v>
      </c>
      <c r="Y109" t="s">
        <v>1239</v>
      </c>
      <c r="Z109">
        <v>8.24</v>
      </c>
      <c r="AA109">
        <v>8.5</v>
      </c>
      <c r="AB109" t="s">
        <v>1238</v>
      </c>
      <c r="AC109" t="s">
        <v>1240</v>
      </c>
      <c r="AD109" t="s">
        <v>1241</v>
      </c>
      <c r="AE109" t="s">
        <v>429</v>
      </c>
      <c r="AF109" t="s">
        <v>1242</v>
      </c>
      <c r="AG109" t="s">
        <v>1243</v>
      </c>
      <c r="AH109" t="s">
        <v>1244</v>
      </c>
      <c r="AI109" t="s">
        <v>1245</v>
      </c>
      <c r="AJ109" t="s">
        <v>1242</v>
      </c>
      <c r="AK109" t="s">
        <v>1246</v>
      </c>
      <c r="AL109" t="s">
        <v>1247</v>
      </c>
      <c r="AM109" t="s">
        <v>117</v>
      </c>
    </row>
    <row r="110" spans="1:39" x14ac:dyDescent="0.35">
      <c r="A110" t="s">
        <v>39</v>
      </c>
      <c r="B110" t="s">
        <v>1248</v>
      </c>
      <c r="C110">
        <v>351661</v>
      </c>
      <c r="D110" t="s">
        <v>72</v>
      </c>
      <c r="E110" t="s">
        <v>1249</v>
      </c>
      <c r="F110" t="s">
        <v>116</v>
      </c>
      <c r="G110" t="s">
        <v>75</v>
      </c>
      <c r="H110" t="s">
        <v>45</v>
      </c>
      <c r="I110" t="s">
        <v>108</v>
      </c>
      <c r="J110" t="s">
        <v>78</v>
      </c>
      <c r="K110" t="s">
        <v>79</v>
      </c>
      <c r="L110" t="s">
        <v>117</v>
      </c>
      <c r="M110" t="s">
        <v>81</v>
      </c>
      <c r="N110" t="s">
        <v>82</v>
      </c>
      <c r="O110" t="s">
        <v>1250</v>
      </c>
      <c r="P110" t="s">
        <v>164</v>
      </c>
      <c r="Q110" t="s">
        <v>1251</v>
      </c>
      <c r="R110" t="s">
        <v>1251</v>
      </c>
      <c r="S110" t="s">
        <v>1252</v>
      </c>
      <c r="T110" t="s">
        <v>164</v>
      </c>
      <c r="U110" t="s">
        <v>164</v>
      </c>
      <c r="V110" t="s">
        <v>164</v>
      </c>
      <c r="W110" t="s">
        <v>1253</v>
      </c>
      <c r="X110" t="s">
        <v>1254</v>
      </c>
      <c r="Y110" t="s">
        <v>1255</v>
      </c>
      <c r="Z110">
        <v>0.36</v>
      </c>
      <c r="AA110">
        <v>0.24</v>
      </c>
      <c r="AB110" t="s">
        <v>1254</v>
      </c>
      <c r="AC110" t="s">
        <v>1254</v>
      </c>
      <c r="AD110" t="s">
        <v>1254</v>
      </c>
      <c r="AE110" t="s">
        <v>1256</v>
      </c>
      <c r="AF110" t="s">
        <v>1257</v>
      </c>
      <c r="AG110" t="s">
        <v>521</v>
      </c>
      <c r="AH110" t="s">
        <v>521</v>
      </c>
      <c r="AI110" t="s">
        <v>730</v>
      </c>
      <c r="AJ110" t="s">
        <v>1257</v>
      </c>
      <c r="AK110" t="s">
        <v>1257</v>
      </c>
      <c r="AL110" t="s">
        <v>1257</v>
      </c>
      <c r="AM110" t="s">
        <v>117</v>
      </c>
    </row>
    <row r="111" spans="1:39" x14ac:dyDescent="0.35">
      <c r="A111" t="s">
        <v>39</v>
      </c>
      <c r="B111" t="s">
        <v>1258</v>
      </c>
      <c r="C111">
        <v>351666</v>
      </c>
      <c r="D111" t="s">
        <v>72</v>
      </c>
      <c r="E111" t="s">
        <v>1259</v>
      </c>
      <c r="F111" t="s">
        <v>1260</v>
      </c>
      <c r="G111" t="s">
        <v>75</v>
      </c>
      <c r="H111" t="s">
        <v>45</v>
      </c>
      <c r="I111" t="s">
        <v>108</v>
      </c>
      <c r="J111" t="s">
        <v>78</v>
      </c>
      <c r="K111" t="s">
        <v>79</v>
      </c>
      <c r="L111" t="s">
        <v>117</v>
      </c>
      <c r="M111" t="s">
        <v>81</v>
      </c>
      <c r="N111" t="s">
        <v>82</v>
      </c>
      <c r="O111" t="s">
        <v>1261</v>
      </c>
      <c r="P111" t="s">
        <v>1262</v>
      </c>
      <c r="Q111" t="s">
        <v>1263</v>
      </c>
      <c r="R111" t="s">
        <v>1264</v>
      </c>
      <c r="S111" t="s">
        <v>1264</v>
      </c>
      <c r="T111" t="s">
        <v>52</v>
      </c>
      <c r="U111" t="s">
        <v>52</v>
      </c>
      <c r="V111" t="s">
        <v>52</v>
      </c>
      <c r="W111" t="s">
        <v>238</v>
      </c>
      <c r="X111" t="s">
        <v>226</v>
      </c>
      <c r="Y111" t="s">
        <v>1265</v>
      </c>
      <c r="Z111">
        <v>0.14000000000000001</v>
      </c>
      <c r="AA111">
        <v>0.14000000000000001</v>
      </c>
      <c r="AB111" t="s">
        <v>52</v>
      </c>
      <c r="AC111" t="s">
        <v>52</v>
      </c>
      <c r="AD111" t="s">
        <v>52</v>
      </c>
      <c r="AE111" t="s">
        <v>1266</v>
      </c>
      <c r="AF111" t="s">
        <v>1267</v>
      </c>
      <c r="AG111" t="s">
        <v>1268</v>
      </c>
      <c r="AH111" t="s">
        <v>800</v>
      </c>
      <c r="AI111" t="s">
        <v>800</v>
      </c>
      <c r="AJ111" t="s">
        <v>52</v>
      </c>
      <c r="AK111" t="s">
        <v>52</v>
      </c>
      <c r="AL111" t="s">
        <v>52</v>
      </c>
      <c r="AM111" t="s">
        <v>117</v>
      </c>
    </row>
    <row r="112" spans="1:39" x14ac:dyDescent="0.35">
      <c r="A112" t="s">
        <v>39</v>
      </c>
      <c r="B112" t="s">
        <v>1269</v>
      </c>
      <c r="C112">
        <v>351659</v>
      </c>
      <c r="D112" t="s">
        <v>72</v>
      </c>
      <c r="E112" t="s">
        <v>1270</v>
      </c>
      <c r="F112" t="s">
        <v>1271</v>
      </c>
      <c r="G112" t="s">
        <v>75</v>
      </c>
      <c r="H112" t="s">
        <v>45</v>
      </c>
      <c r="I112" t="s">
        <v>108</v>
      </c>
      <c r="J112" t="s">
        <v>78</v>
      </c>
      <c r="K112" t="s">
        <v>79</v>
      </c>
      <c r="L112" t="s">
        <v>117</v>
      </c>
      <c r="M112" t="s">
        <v>81</v>
      </c>
      <c r="N112" t="s">
        <v>82</v>
      </c>
      <c r="O112" t="s">
        <v>1272</v>
      </c>
      <c r="P112" t="s">
        <v>1273</v>
      </c>
      <c r="Q112" t="s">
        <v>1274</v>
      </c>
      <c r="R112" t="s">
        <v>1275</v>
      </c>
      <c r="S112" t="s">
        <v>1276</v>
      </c>
      <c r="T112" t="s">
        <v>1277</v>
      </c>
      <c r="U112" t="s">
        <v>123</v>
      </c>
      <c r="V112" t="s">
        <v>1278</v>
      </c>
      <c r="W112" t="s">
        <v>1279</v>
      </c>
      <c r="X112" t="s">
        <v>1280</v>
      </c>
      <c r="Y112" t="s">
        <v>1281</v>
      </c>
      <c r="Z112">
        <v>5.63</v>
      </c>
      <c r="AA112">
        <v>6.62</v>
      </c>
      <c r="AB112" t="s">
        <v>1282</v>
      </c>
      <c r="AC112" t="s">
        <v>1283</v>
      </c>
      <c r="AD112" t="s">
        <v>1284</v>
      </c>
      <c r="AE112" t="s">
        <v>1285</v>
      </c>
      <c r="AF112" t="s">
        <v>1286</v>
      </c>
      <c r="AG112" t="s">
        <v>1287</v>
      </c>
      <c r="AH112" t="s">
        <v>1288</v>
      </c>
      <c r="AI112" t="s">
        <v>1289</v>
      </c>
      <c r="AJ112" t="s">
        <v>1290</v>
      </c>
      <c r="AK112" t="s">
        <v>1291</v>
      </c>
      <c r="AL112" t="s">
        <v>1292</v>
      </c>
      <c r="AM112" t="s">
        <v>117</v>
      </c>
    </row>
    <row r="113" spans="1:39" x14ac:dyDescent="0.35">
      <c r="A113" t="s">
        <v>39</v>
      </c>
      <c r="B113" t="s">
        <v>1293</v>
      </c>
      <c r="C113">
        <v>351657</v>
      </c>
      <c r="D113" t="s">
        <v>72</v>
      </c>
      <c r="E113" t="s">
        <v>1294</v>
      </c>
      <c r="F113" t="s">
        <v>1271</v>
      </c>
      <c r="G113" t="s">
        <v>75</v>
      </c>
      <c r="H113" t="s">
        <v>45</v>
      </c>
      <c r="I113" t="s">
        <v>108</v>
      </c>
      <c r="J113" t="s">
        <v>78</v>
      </c>
      <c r="K113" t="s">
        <v>79</v>
      </c>
      <c r="L113" t="s">
        <v>117</v>
      </c>
      <c r="M113" t="s">
        <v>81</v>
      </c>
      <c r="N113" t="s">
        <v>82</v>
      </c>
      <c r="O113" t="s">
        <v>1295</v>
      </c>
      <c r="P113" t="s">
        <v>1296</v>
      </c>
      <c r="Q113" t="s">
        <v>1297</v>
      </c>
      <c r="R113" t="s">
        <v>1298</v>
      </c>
      <c r="S113" t="s">
        <v>1299</v>
      </c>
      <c r="T113" t="s">
        <v>1300</v>
      </c>
      <c r="U113" t="s">
        <v>1301</v>
      </c>
      <c r="V113" t="s">
        <v>1302</v>
      </c>
      <c r="W113" t="s">
        <v>1303</v>
      </c>
      <c r="X113" t="s">
        <v>632</v>
      </c>
      <c r="Y113" t="s">
        <v>1304</v>
      </c>
      <c r="Z113">
        <v>3.68</v>
      </c>
      <c r="AA113">
        <v>4.33</v>
      </c>
      <c r="AB113" t="s">
        <v>1305</v>
      </c>
      <c r="AC113" t="s">
        <v>1306</v>
      </c>
      <c r="AD113" t="s">
        <v>1307</v>
      </c>
      <c r="AE113" t="s">
        <v>1308</v>
      </c>
      <c r="AF113" t="s">
        <v>1309</v>
      </c>
      <c r="AG113" t="s">
        <v>1310</v>
      </c>
      <c r="AH113" t="s">
        <v>1311</v>
      </c>
      <c r="AI113" t="s">
        <v>1312</v>
      </c>
      <c r="AJ113" t="s">
        <v>1313</v>
      </c>
      <c r="AK113" t="s">
        <v>1314</v>
      </c>
      <c r="AL113" t="s">
        <v>1315</v>
      </c>
      <c r="AM113" t="s">
        <v>117</v>
      </c>
    </row>
    <row r="114" spans="1:39" x14ac:dyDescent="0.35">
      <c r="A114" t="s">
        <v>39</v>
      </c>
      <c r="B114" t="s">
        <v>1316</v>
      </c>
      <c r="C114">
        <v>351668</v>
      </c>
      <c r="D114" t="s">
        <v>72</v>
      </c>
      <c r="E114" t="s">
        <v>1317</v>
      </c>
      <c r="F114" t="s">
        <v>1260</v>
      </c>
      <c r="G114" t="s">
        <v>75</v>
      </c>
      <c r="H114" t="s">
        <v>45</v>
      </c>
      <c r="I114" t="s">
        <v>108</v>
      </c>
      <c r="J114" t="s">
        <v>78</v>
      </c>
      <c r="K114" t="s">
        <v>79</v>
      </c>
      <c r="L114" t="s">
        <v>117</v>
      </c>
      <c r="M114" t="s">
        <v>81</v>
      </c>
      <c r="N114" t="s">
        <v>82</v>
      </c>
      <c r="O114" t="s">
        <v>1318</v>
      </c>
      <c r="P114" t="s">
        <v>165</v>
      </c>
      <c r="Q114" t="s">
        <v>52</v>
      </c>
      <c r="R114" t="s">
        <v>52</v>
      </c>
      <c r="S114" t="s">
        <v>52</v>
      </c>
      <c r="T114" t="s">
        <v>52</v>
      </c>
      <c r="U114" t="s">
        <v>52</v>
      </c>
      <c r="V114" t="s">
        <v>52</v>
      </c>
      <c r="W114" t="s">
        <v>1319</v>
      </c>
      <c r="X114" t="s">
        <v>1320</v>
      </c>
      <c r="Y114" t="s">
        <v>52</v>
      </c>
      <c r="Z114">
        <v>0</v>
      </c>
      <c r="AA114">
        <v>0</v>
      </c>
      <c r="AB114" t="s">
        <v>52</v>
      </c>
      <c r="AC114" t="s">
        <v>52</v>
      </c>
      <c r="AD114" t="s">
        <v>52</v>
      </c>
      <c r="AE114" t="s">
        <v>1321</v>
      </c>
      <c r="AF114" t="s">
        <v>69</v>
      </c>
      <c r="AG114" t="s">
        <v>52</v>
      </c>
      <c r="AH114" t="s">
        <v>52</v>
      </c>
      <c r="AI114" t="s">
        <v>52</v>
      </c>
      <c r="AJ114" t="s">
        <v>52</v>
      </c>
      <c r="AK114" t="s">
        <v>52</v>
      </c>
      <c r="AL114" t="s">
        <v>52</v>
      </c>
      <c r="AM114" t="s">
        <v>117</v>
      </c>
    </row>
    <row r="115" spans="1:39" x14ac:dyDescent="0.35">
      <c r="A115" t="s">
        <v>39</v>
      </c>
      <c r="B115" t="s">
        <v>1322</v>
      </c>
      <c r="C115">
        <v>351667</v>
      </c>
      <c r="D115" t="s">
        <v>72</v>
      </c>
      <c r="E115" t="s">
        <v>1323</v>
      </c>
      <c r="F115" t="s">
        <v>1260</v>
      </c>
      <c r="G115" t="s">
        <v>75</v>
      </c>
      <c r="H115" t="s">
        <v>45</v>
      </c>
      <c r="I115" t="s">
        <v>108</v>
      </c>
      <c r="J115" t="s">
        <v>78</v>
      </c>
      <c r="K115" t="s">
        <v>79</v>
      </c>
      <c r="L115" t="s">
        <v>117</v>
      </c>
      <c r="M115" t="s">
        <v>81</v>
      </c>
      <c r="N115" t="s">
        <v>82</v>
      </c>
      <c r="O115" t="s">
        <v>1324</v>
      </c>
      <c r="P115" t="s">
        <v>1325</v>
      </c>
      <c r="Q115" t="s">
        <v>1326</v>
      </c>
      <c r="R115" t="s">
        <v>1327</v>
      </c>
      <c r="S115" t="s">
        <v>1328</v>
      </c>
      <c r="T115" t="s">
        <v>52</v>
      </c>
      <c r="U115" t="s">
        <v>52</v>
      </c>
      <c r="V115" t="s">
        <v>52</v>
      </c>
      <c r="W115" t="s">
        <v>964</v>
      </c>
      <c r="X115" t="s">
        <v>1329</v>
      </c>
      <c r="Y115" t="s">
        <v>1330</v>
      </c>
      <c r="Z115">
        <v>0.87</v>
      </c>
      <c r="AA115">
        <v>1.07</v>
      </c>
      <c r="AB115" t="s">
        <v>52</v>
      </c>
      <c r="AC115" t="s">
        <v>52</v>
      </c>
      <c r="AD115" t="s">
        <v>52</v>
      </c>
      <c r="AE115" t="s">
        <v>1331</v>
      </c>
      <c r="AF115" t="s">
        <v>1332</v>
      </c>
      <c r="AG115" t="s">
        <v>1333</v>
      </c>
      <c r="AH115" t="s">
        <v>1334</v>
      </c>
      <c r="AI115" t="s">
        <v>1335</v>
      </c>
      <c r="AJ115" t="s">
        <v>52</v>
      </c>
      <c r="AK115" t="s">
        <v>52</v>
      </c>
      <c r="AL115" t="s">
        <v>52</v>
      </c>
      <c r="AM115" t="s">
        <v>117</v>
      </c>
    </row>
    <row r="116" spans="1:39" x14ac:dyDescent="0.35">
      <c r="A116" t="s">
        <v>39</v>
      </c>
      <c r="B116" t="s">
        <v>1336</v>
      </c>
      <c r="C116">
        <v>351664</v>
      </c>
      <c r="D116" t="s">
        <v>72</v>
      </c>
      <c r="E116" t="s">
        <v>1337</v>
      </c>
      <c r="F116" t="s">
        <v>116</v>
      </c>
      <c r="G116" t="s">
        <v>75</v>
      </c>
      <c r="H116" t="s">
        <v>45</v>
      </c>
      <c r="I116" t="s">
        <v>108</v>
      </c>
      <c r="J116" t="s">
        <v>78</v>
      </c>
      <c r="K116" t="s">
        <v>79</v>
      </c>
      <c r="L116" t="s">
        <v>117</v>
      </c>
      <c r="M116" t="s">
        <v>81</v>
      </c>
      <c r="N116" t="s">
        <v>82</v>
      </c>
      <c r="O116" t="s">
        <v>1338</v>
      </c>
      <c r="P116" t="s">
        <v>454</v>
      </c>
      <c r="Q116" t="s">
        <v>344</v>
      </c>
      <c r="R116" t="s">
        <v>1339</v>
      </c>
      <c r="S116" t="s">
        <v>1339</v>
      </c>
      <c r="T116" t="s">
        <v>1340</v>
      </c>
      <c r="U116" t="s">
        <v>1340</v>
      </c>
      <c r="V116" t="s">
        <v>454</v>
      </c>
      <c r="W116" t="s">
        <v>1341</v>
      </c>
      <c r="X116" t="s">
        <v>856</v>
      </c>
      <c r="Y116" t="s">
        <v>1342</v>
      </c>
      <c r="Z116">
        <v>1.03</v>
      </c>
      <c r="AA116">
        <v>1.03</v>
      </c>
      <c r="AB116" t="s">
        <v>1343</v>
      </c>
      <c r="AC116" t="s">
        <v>1343</v>
      </c>
      <c r="AD116" t="s">
        <v>856</v>
      </c>
      <c r="AE116" t="s">
        <v>1344</v>
      </c>
      <c r="AF116" t="s">
        <v>1345</v>
      </c>
      <c r="AG116" t="s">
        <v>1346</v>
      </c>
      <c r="AH116" t="s">
        <v>1347</v>
      </c>
      <c r="AI116" t="s">
        <v>1347</v>
      </c>
      <c r="AJ116" t="s">
        <v>1348</v>
      </c>
      <c r="AK116" t="s">
        <v>1348</v>
      </c>
      <c r="AL116" t="s">
        <v>1345</v>
      </c>
      <c r="AM116" t="s">
        <v>117</v>
      </c>
    </row>
    <row r="117" spans="1:39" x14ac:dyDescent="0.35">
      <c r="A117" t="s">
        <v>39</v>
      </c>
      <c r="B117" t="s">
        <v>1349</v>
      </c>
      <c r="C117">
        <v>351768</v>
      </c>
      <c r="D117" t="s">
        <v>72</v>
      </c>
      <c r="E117" t="s">
        <v>1350</v>
      </c>
      <c r="F117" t="s">
        <v>1351</v>
      </c>
      <c r="G117" t="s">
        <v>282</v>
      </c>
      <c r="H117" t="s">
        <v>76</v>
      </c>
      <c r="I117" t="s">
        <v>108</v>
      </c>
      <c r="J117" t="s">
        <v>78</v>
      </c>
      <c r="K117" t="s">
        <v>79</v>
      </c>
      <c r="L117" t="s">
        <v>1352</v>
      </c>
      <c r="M117" t="s">
        <v>81</v>
      </c>
      <c r="N117" t="s">
        <v>82</v>
      </c>
      <c r="O117" t="s">
        <v>1353</v>
      </c>
      <c r="P117" t="s">
        <v>1354</v>
      </c>
      <c r="Q117" t="s">
        <v>1355</v>
      </c>
      <c r="R117" t="s">
        <v>1355</v>
      </c>
      <c r="S117" t="s">
        <v>1355</v>
      </c>
      <c r="T117" t="s">
        <v>52</v>
      </c>
      <c r="U117" t="s">
        <v>52</v>
      </c>
      <c r="V117" t="s">
        <v>52</v>
      </c>
      <c r="W117" t="s">
        <v>1356</v>
      </c>
      <c r="X117" t="s">
        <v>1357</v>
      </c>
      <c r="Y117" t="s">
        <v>651</v>
      </c>
      <c r="Z117">
        <v>2.5099999999999998</v>
      </c>
      <c r="AA117">
        <v>2.5099999999999998</v>
      </c>
      <c r="AB117" t="s">
        <v>52</v>
      </c>
      <c r="AC117" t="s">
        <v>52</v>
      </c>
      <c r="AD117" t="s">
        <v>52</v>
      </c>
      <c r="AE117" t="s">
        <v>1358</v>
      </c>
      <c r="AF117" t="s">
        <v>1359</v>
      </c>
      <c r="AG117" t="s">
        <v>1360</v>
      </c>
      <c r="AH117" t="s">
        <v>1360</v>
      </c>
      <c r="AI117" t="s">
        <v>1360</v>
      </c>
      <c r="AJ117" t="s">
        <v>52</v>
      </c>
      <c r="AK117" t="s">
        <v>52</v>
      </c>
      <c r="AL117" t="s">
        <v>52</v>
      </c>
      <c r="AM117" t="s">
        <v>1361</v>
      </c>
    </row>
    <row r="118" spans="1:39" x14ac:dyDescent="0.35">
      <c r="A118" t="s">
        <v>39</v>
      </c>
      <c r="B118" t="s">
        <v>1362</v>
      </c>
      <c r="C118">
        <v>351766</v>
      </c>
      <c r="D118" t="s">
        <v>72</v>
      </c>
      <c r="E118" t="s">
        <v>1363</v>
      </c>
      <c r="F118" t="s">
        <v>1351</v>
      </c>
      <c r="G118" t="s">
        <v>282</v>
      </c>
      <c r="H118" t="s">
        <v>76</v>
      </c>
      <c r="I118" t="s">
        <v>108</v>
      </c>
      <c r="J118" t="s">
        <v>78</v>
      </c>
      <c r="K118" t="s">
        <v>79</v>
      </c>
      <c r="L118" t="s">
        <v>1352</v>
      </c>
      <c r="M118" t="s">
        <v>81</v>
      </c>
      <c r="N118" t="s">
        <v>82</v>
      </c>
      <c r="O118" t="s">
        <v>1364</v>
      </c>
      <c r="P118" t="s">
        <v>1365</v>
      </c>
      <c r="Q118" t="s">
        <v>52</v>
      </c>
      <c r="R118" t="s">
        <v>52</v>
      </c>
      <c r="S118" t="s">
        <v>52</v>
      </c>
      <c r="T118" t="s">
        <v>52</v>
      </c>
      <c r="U118" t="s">
        <v>52</v>
      </c>
      <c r="V118" t="s">
        <v>52</v>
      </c>
      <c r="W118" t="s">
        <v>1366</v>
      </c>
      <c r="X118" t="s">
        <v>704</v>
      </c>
      <c r="Y118" t="s">
        <v>52</v>
      </c>
      <c r="Z118">
        <v>0</v>
      </c>
      <c r="AA118">
        <v>0</v>
      </c>
      <c r="AB118" t="s">
        <v>52</v>
      </c>
      <c r="AC118" t="s">
        <v>52</v>
      </c>
      <c r="AD118" t="s">
        <v>52</v>
      </c>
      <c r="AE118" t="s">
        <v>1367</v>
      </c>
      <c r="AF118" t="s">
        <v>1368</v>
      </c>
      <c r="AG118" t="s">
        <v>52</v>
      </c>
      <c r="AH118" t="s">
        <v>52</v>
      </c>
      <c r="AI118" t="s">
        <v>52</v>
      </c>
      <c r="AJ118" t="s">
        <v>52</v>
      </c>
      <c r="AK118" t="s">
        <v>52</v>
      </c>
      <c r="AL118" t="s">
        <v>52</v>
      </c>
      <c r="AM118" t="s">
        <v>1361</v>
      </c>
    </row>
    <row r="119" spans="1:39" x14ac:dyDescent="0.35">
      <c r="A119" t="s">
        <v>39</v>
      </c>
      <c r="B119" t="s">
        <v>1369</v>
      </c>
      <c r="C119">
        <v>351770</v>
      </c>
      <c r="D119" t="s">
        <v>72</v>
      </c>
      <c r="E119" t="s">
        <v>1370</v>
      </c>
      <c r="F119" t="s">
        <v>1351</v>
      </c>
      <c r="G119" t="s">
        <v>282</v>
      </c>
      <c r="H119" t="s">
        <v>76</v>
      </c>
      <c r="I119" t="s">
        <v>108</v>
      </c>
      <c r="J119" t="s">
        <v>78</v>
      </c>
      <c r="K119" t="s">
        <v>79</v>
      </c>
      <c r="L119" t="s">
        <v>1352</v>
      </c>
      <c r="M119" t="s">
        <v>81</v>
      </c>
      <c r="N119" t="s">
        <v>82</v>
      </c>
      <c r="O119" t="s">
        <v>1371</v>
      </c>
      <c r="P119" t="s">
        <v>1372</v>
      </c>
      <c r="Q119" t="s">
        <v>1373</v>
      </c>
      <c r="R119" t="s">
        <v>1373</v>
      </c>
      <c r="S119" t="s">
        <v>1373</v>
      </c>
      <c r="T119" t="s">
        <v>52</v>
      </c>
      <c r="U119" t="s">
        <v>52</v>
      </c>
      <c r="V119" t="s">
        <v>52</v>
      </c>
      <c r="W119" t="s">
        <v>1360</v>
      </c>
      <c r="X119" t="s">
        <v>1374</v>
      </c>
      <c r="Y119" t="s">
        <v>561</v>
      </c>
      <c r="Z119">
        <v>0.71</v>
      </c>
      <c r="AA119">
        <v>0.71</v>
      </c>
      <c r="AB119" t="s">
        <v>52</v>
      </c>
      <c r="AC119" t="s">
        <v>52</v>
      </c>
      <c r="AD119" t="s">
        <v>52</v>
      </c>
      <c r="AE119" t="s">
        <v>1375</v>
      </c>
      <c r="AF119" t="s">
        <v>53</v>
      </c>
      <c r="AG119" t="s">
        <v>1376</v>
      </c>
      <c r="AH119" t="s">
        <v>1376</v>
      </c>
      <c r="AI119" t="s">
        <v>1376</v>
      </c>
      <c r="AJ119" t="s">
        <v>52</v>
      </c>
      <c r="AK119" t="s">
        <v>52</v>
      </c>
      <c r="AL119" t="s">
        <v>52</v>
      </c>
      <c r="AM119" t="s">
        <v>1361</v>
      </c>
    </row>
    <row r="120" spans="1:39" x14ac:dyDescent="0.35">
      <c r="A120" t="s">
        <v>39</v>
      </c>
      <c r="B120" t="s">
        <v>1377</v>
      </c>
      <c r="C120">
        <v>351769</v>
      </c>
      <c r="D120" t="s">
        <v>72</v>
      </c>
      <c r="E120" t="s">
        <v>1378</v>
      </c>
      <c r="F120" t="s">
        <v>1351</v>
      </c>
      <c r="G120" t="s">
        <v>282</v>
      </c>
      <c r="H120" t="s">
        <v>76</v>
      </c>
      <c r="I120" t="s">
        <v>108</v>
      </c>
      <c r="J120" t="s">
        <v>78</v>
      </c>
      <c r="K120" t="s">
        <v>79</v>
      </c>
      <c r="L120" t="s">
        <v>1352</v>
      </c>
      <c r="M120" t="s">
        <v>81</v>
      </c>
      <c r="N120" t="s">
        <v>82</v>
      </c>
      <c r="O120" t="s">
        <v>1379</v>
      </c>
      <c r="P120" t="s">
        <v>1380</v>
      </c>
      <c r="Q120" t="s">
        <v>1381</v>
      </c>
      <c r="R120" t="s">
        <v>1382</v>
      </c>
      <c r="S120" t="s">
        <v>1382</v>
      </c>
      <c r="T120" t="s">
        <v>52</v>
      </c>
      <c r="U120" t="s">
        <v>52</v>
      </c>
      <c r="V120" t="s">
        <v>52</v>
      </c>
      <c r="W120" t="s">
        <v>1375</v>
      </c>
      <c r="X120" t="s">
        <v>1383</v>
      </c>
      <c r="Y120" t="s">
        <v>1384</v>
      </c>
      <c r="Z120">
        <v>1.08</v>
      </c>
      <c r="AA120">
        <v>1.08</v>
      </c>
      <c r="AB120" t="s">
        <v>52</v>
      </c>
      <c r="AC120" t="s">
        <v>52</v>
      </c>
      <c r="AD120" t="s">
        <v>52</v>
      </c>
      <c r="AE120" t="s">
        <v>1385</v>
      </c>
      <c r="AF120" t="s">
        <v>1386</v>
      </c>
      <c r="AG120" t="s">
        <v>1387</v>
      </c>
      <c r="AH120" t="s">
        <v>685</v>
      </c>
      <c r="AI120" t="s">
        <v>685</v>
      </c>
      <c r="AJ120" t="s">
        <v>52</v>
      </c>
      <c r="AK120" t="s">
        <v>52</v>
      </c>
      <c r="AL120" t="s">
        <v>52</v>
      </c>
      <c r="AM120" t="s">
        <v>1361</v>
      </c>
    </row>
    <row r="121" spans="1:39" x14ac:dyDescent="0.35">
      <c r="A121" t="s">
        <v>39</v>
      </c>
      <c r="B121" t="s">
        <v>1388</v>
      </c>
      <c r="C121">
        <v>352027</v>
      </c>
      <c r="D121" t="s">
        <v>72</v>
      </c>
      <c r="E121" t="s">
        <v>1389</v>
      </c>
      <c r="F121" t="s">
        <v>1390</v>
      </c>
      <c r="G121" t="s">
        <v>44</v>
      </c>
      <c r="H121" t="s">
        <v>45</v>
      </c>
      <c r="I121" t="s">
        <v>108</v>
      </c>
      <c r="J121" t="s">
        <v>47</v>
      </c>
      <c r="K121" t="s">
        <v>79</v>
      </c>
      <c r="L121" t="s">
        <v>1391</v>
      </c>
      <c r="M121" t="s">
        <v>516</v>
      </c>
      <c r="N121" t="s">
        <v>51</v>
      </c>
      <c r="O121" t="s">
        <v>1392</v>
      </c>
      <c r="P121" t="s">
        <v>410</v>
      </c>
      <c r="Q121" t="s">
        <v>223</v>
      </c>
      <c r="R121" t="s">
        <v>1393</v>
      </c>
      <c r="S121" t="s">
        <v>52</v>
      </c>
      <c r="T121" t="s">
        <v>52</v>
      </c>
      <c r="U121" t="s">
        <v>52</v>
      </c>
      <c r="V121" t="s">
        <v>52</v>
      </c>
      <c r="W121" t="s">
        <v>1394</v>
      </c>
      <c r="X121" t="s">
        <v>1395</v>
      </c>
      <c r="Y121" t="s">
        <v>1396</v>
      </c>
      <c r="Z121">
        <v>2.6</v>
      </c>
      <c r="AA121">
        <v>0</v>
      </c>
      <c r="AB121" t="s">
        <v>52</v>
      </c>
      <c r="AC121" t="s">
        <v>52</v>
      </c>
      <c r="AD121" t="s">
        <v>52</v>
      </c>
      <c r="AE121" t="s">
        <v>1397</v>
      </c>
      <c r="AF121" t="s">
        <v>1398</v>
      </c>
      <c r="AG121" t="s">
        <v>1399</v>
      </c>
      <c r="AH121" t="s">
        <v>1400</v>
      </c>
      <c r="AI121" t="s">
        <v>52</v>
      </c>
      <c r="AJ121" t="s">
        <v>52</v>
      </c>
      <c r="AK121" t="s">
        <v>52</v>
      </c>
      <c r="AL121" t="s">
        <v>52</v>
      </c>
      <c r="AM121" t="s">
        <v>1391</v>
      </c>
    </row>
    <row r="122" spans="1:39" x14ac:dyDescent="0.35">
      <c r="A122" t="s">
        <v>39</v>
      </c>
      <c r="B122" t="s">
        <v>1401</v>
      </c>
      <c r="C122">
        <v>352028</v>
      </c>
      <c r="D122" t="s">
        <v>72</v>
      </c>
      <c r="E122" t="s">
        <v>1402</v>
      </c>
      <c r="F122" t="s">
        <v>1390</v>
      </c>
      <c r="G122" t="s">
        <v>44</v>
      </c>
      <c r="H122" t="s">
        <v>45</v>
      </c>
      <c r="I122" t="s">
        <v>108</v>
      </c>
      <c r="J122" t="s">
        <v>47</v>
      </c>
      <c r="K122" t="s">
        <v>79</v>
      </c>
      <c r="L122" t="s">
        <v>1391</v>
      </c>
      <c r="M122" t="s">
        <v>516</v>
      </c>
      <c r="N122" t="s">
        <v>51</v>
      </c>
      <c r="O122" t="s">
        <v>1403</v>
      </c>
      <c r="P122" t="s">
        <v>1404</v>
      </c>
      <c r="Q122" t="s">
        <v>191</v>
      </c>
      <c r="R122" t="s">
        <v>1405</v>
      </c>
      <c r="S122" t="s">
        <v>52</v>
      </c>
      <c r="T122" t="s">
        <v>52</v>
      </c>
      <c r="U122" t="s">
        <v>52</v>
      </c>
      <c r="V122" t="s">
        <v>52</v>
      </c>
      <c r="W122" t="s">
        <v>1406</v>
      </c>
      <c r="X122" t="s">
        <v>550</v>
      </c>
      <c r="Y122" t="s">
        <v>178</v>
      </c>
      <c r="Z122">
        <v>6.84</v>
      </c>
      <c r="AA122">
        <v>0</v>
      </c>
      <c r="AB122" t="s">
        <v>52</v>
      </c>
      <c r="AC122" t="s">
        <v>52</v>
      </c>
      <c r="AD122" t="s">
        <v>52</v>
      </c>
      <c r="AE122" t="s">
        <v>1407</v>
      </c>
      <c r="AF122" t="s">
        <v>1408</v>
      </c>
      <c r="AG122" t="s">
        <v>1409</v>
      </c>
      <c r="AH122" t="s">
        <v>1410</v>
      </c>
      <c r="AI122" t="s">
        <v>52</v>
      </c>
      <c r="AJ122" t="s">
        <v>52</v>
      </c>
      <c r="AK122" t="s">
        <v>52</v>
      </c>
      <c r="AL122" t="s">
        <v>52</v>
      </c>
      <c r="AM122" t="s">
        <v>1391</v>
      </c>
    </row>
    <row r="123" spans="1:39" x14ac:dyDescent="0.35">
      <c r="A123" t="s">
        <v>39</v>
      </c>
      <c r="B123" t="s">
        <v>1411</v>
      </c>
      <c r="C123">
        <v>352491</v>
      </c>
      <c r="D123" t="s">
        <v>72</v>
      </c>
      <c r="E123" t="s">
        <v>1412</v>
      </c>
      <c r="F123" t="s">
        <v>1413</v>
      </c>
      <c r="G123" t="s">
        <v>44</v>
      </c>
      <c r="H123" t="s">
        <v>45</v>
      </c>
      <c r="I123" t="s">
        <v>108</v>
      </c>
      <c r="J123" t="s">
        <v>47</v>
      </c>
      <c r="K123" t="s">
        <v>79</v>
      </c>
      <c r="L123" t="s">
        <v>1414</v>
      </c>
      <c r="M123" t="s">
        <v>516</v>
      </c>
      <c r="N123" t="s">
        <v>51</v>
      </c>
      <c r="O123" t="s">
        <v>1415</v>
      </c>
      <c r="P123" t="s">
        <v>1416</v>
      </c>
      <c r="Q123" t="s">
        <v>1340</v>
      </c>
      <c r="R123" t="s">
        <v>1417</v>
      </c>
      <c r="S123" t="s">
        <v>52</v>
      </c>
      <c r="T123" t="s">
        <v>52</v>
      </c>
      <c r="U123" t="s">
        <v>52</v>
      </c>
      <c r="V123" t="s">
        <v>52</v>
      </c>
      <c r="W123" t="s">
        <v>1418</v>
      </c>
      <c r="X123" t="s">
        <v>1419</v>
      </c>
      <c r="Y123" t="s">
        <v>1420</v>
      </c>
      <c r="Z123">
        <v>12.71</v>
      </c>
      <c r="AA123">
        <v>0</v>
      </c>
      <c r="AB123" t="s">
        <v>52</v>
      </c>
      <c r="AC123" t="s">
        <v>52</v>
      </c>
      <c r="AD123" t="s">
        <v>52</v>
      </c>
      <c r="AE123" t="s">
        <v>1421</v>
      </c>
      <c r="AF123" t="s">
        <v>1422</v>
      </c>
      <c r="AG123" t="s">
        <v>1423</v>
      </c>
      <c r="AH123" t="s">
        <v>1424</v>
      </c>
      <c r="AI123" t="s">
        <v>52</v>
      </c>
      <c r="AJ123" t="s">
        <v>52</v>
      </c>
      <c r="AK123" t="s">
        <v>52</v>
      </c>
      <c r="AL123" t="s">
        <v>52</v>
      </c>
      <c r="AM123" t="s">
        <v>1414</v>
      </c>
    </row>
    <row r="124" spans="1:39" x14ac:dyDescent="0.35">
      <c r="A124" t="s">
        <v>39</v>
      </c>
      <c r="B124" t="s">
        <v>1425</v>
      </c>
      <c r="C124">
        <v>355363</v>
      </c>
      <c r="D124" t="s">
        <v>72</v>
      </c>
      <c r="E124" t="s">
        <v>1426</v>
      </c>
      <c r="F124" t="s">
        <v>1351</v>
      </c>
      <c r="G124" t="s">
        <v>282</v>
      </c>
      <c r="H124" t="s">
        <v>45</v>
      </c>
      <c r="I124" t="s">
        <v>283</v>
      </c>
      <c r="J124" t="s">
        <v>78</v>
      </c>
      <c r="K124" t="s">
        <v>79</v>
      </c>
      <c r="L124" t="s">
        <v>284</v>
      </c>
      <c r="M124" t="s">
        <v>81</v>
      </c>
      <c r="N124" t="s">
        <v>82</v>
      </c>
      <c r="O124" t="s">
        <v>1427</v>
      </c>
      <c r="P124" t="s">
        <v>1428</v>
      </c>
      <c r="Q124" t="s">
        <v>1340</v>
      </c>
      <c r="R124" t="s">
        <v>1429</v>
      </c>
      <c r="S124" t="s">
        <v>1430</v>
      </c>
      <c r="T124" t="s">
        <v>344</v>
      </c>
      <c r="U124" t="s">
        <v>1431</v>
      </c>
      <c r="V124" t="s">
        <v>1431</v>
      </c>
      <c r="W124" t="s">
        <v>1432</v>
      </c>
      <c r="X124" t="s">
        <v>800</v>
      </c>
      <c r="Y124" t="s">
        <v>1433</v>
      </c>
      <c r="Z124">
        <v>3.15</v>
      </c>
      <c r="AA124">
        <v>1.92</v>
      </c>
      <c r="AB124" t="s">
        <v>712</v>
      </c>
      <c r="AC124" t="s">
        <v>201</v>
      </c>
      <c r="AD124" t="s">
        <v>201</v>
      </c>
      <c r="AE124" t="s">
        <v>1434</v>
      </c>
      <c r="AF124" t="s">
        <v>1435</v>
      </c>
      <c r="AG124" t="s">
        <v>1436</v>
      </c>
      <c r="AH124" t="s">
        <v>1437</v>
      </c>
      <c r="AI124" t="s">
        <v>1438</v>
      </c>
      <c r="AJ124" t="s">
        <v>1439</v>
      </c>
      <c r="AK124" t="s">
        <v>1440</v>
      </c>
      <c r="AL124" t="s">
        <v>1440</v>
      </c>
      <c r="AM124" t="s">
        <v>284</v>
      </c>
    </row>
    <row r="125" spans="1:39" x14ac:dyDescent="0.35">
      <c r="A125" t="s">
        <v>39</v>
      </c>
      <c r="B125" t="s">
        <v>1441</v>
      </c>
      <c r="C125">
        <v>352492</v>
      </c>
      <c r="D125" t="s">
        <v>72</v>
      </c>
      <c r="E125" t="s">
        <v>1442</v>
      </c>
      <c r="F125" t="s">
        <v>1413</v>
      </c>
      <c r="G125" t="s">
        <v>44</v>
      </c>
      <c r="H125" t="s">
        <v>45</v>
      </c>
      <c r="I125" t="s">
        <v>108</v>
      </c>
      <c r="J125" t="s">
        <v>47</v>
      </c>
      <c r="K125" t="s">
        <v>79</v>
      </c>
      <c r="L125" t="s">
        <v>1414</v>
      </c>
      <c r="M125" t="s">
        <v>516</v>
      </c>
      <c r="N125" t="s">
        <v>51</v>
      </c>
      <c r="O125" t="s">
        <v>52</v>
      </c>
      <c r="P125" t="s">
        <v>334</v>
      </c>
      <c r="Q125" t="s">
        <v>1443</v>
      </c>
      <c r="R125" t="s">
        <v>1444</v>
      </c>
      <c r="S125" t="s">
        <v>52</v>
      </c>
      <c r="T125" t="s">
        <v>52</v>
      </c>
      <c r="U125" t="s">
        <v>52</v>
      </c>
      <c r="V125" t="s">
        <v>52</v>
      </c>
      <c r="W125" t="s">
        <v>52</v>
      </c>
      <c r="X125" t="s">
        <v>458</v>
      </c>
      <c r="Y125" t="s">
        <v>1445</v>
      </c>
      <c r="Z125">
        <v>1.58</v>
      </c>
      <c r="AA125">
        <v>0</v>
      </c>
      <c r="AB125" t="s">
        <v>52</v>
      </c>
      <c r="AC125" t="s">
        <v>52</v>
      </c>
      <c r="AD125" t="s">
        <v>52</v>
      </c>
      <c r="AE125" t="s">
        <v>52</v>
      </c>
      <c r="AF125" t="s">
        <v>1446</v>
      </c>
      <c r="AG125" t="s">
        <v>1447</v>
      </c>
      <c r="AH125" t="s">
        <v>1448</v>
      </c>
      <c r="AI125" t="s">
        <v>52</v>
      </c>
      <c r="AJ125" t="s">
        <v>52</v>
      </c>
      <c r="AK125" t="s">
        <v>52</v>
      </c>
      <c r="AL125" t="s">
        <v>52</v>
      </c>
      <c r="AM125" t="s">
        <v>1414</v>
      </c>
    </row>
    <row r="126" spans="1:39" x14ac:dyDescent="0.35">
      <c r="A126" t="s">
        <v>39</v>
      </c>
      <c r="B126" t="s">
        <v>1449</v>
      </c>
      <c r="C126">
        <v>352489</v>
      </c>
      <c r="D126" t="s">
        <v>72</v>
      </c>
      <c r="E126" t="s">
        <v>1450</v>
      </c>
      <c r="F126" t="s">
        <v>1413</v>
      </c>
      <c r="G126" t="s">
        <v>44</v>
      </c>
      <c r="H126" t="s">
        <v>45</v>
      </c>
      <c r="I126" t="s">
        <v>108</v>
      </c>
      <c r="J126" t="s">
        <v>47</v>
      </c>
      <c r="K126" t="s">
        <v>79</v>
      </c>
      <c r="L126" t="s">
        <v>1414</v>
      </c>
      <c r="M126" t="s">
        <v>516</v>
      </c>
      <c r="N126" t="s">
        <v>51</v>
      </c>
      <c r="O126" t="s">
        <v>52</v>
      </c>
      <c r="P126" t="s">
        <v>164</v>
      </c>
      <c r="Q126" t="s">
        <v>165</v>
      </c>
      <c r="R126" t="s">
        <v>1451</v>
      </c>
      <c r="S126" t="s">
        <v>52</v>
      </c>
      <c r="T126" t="s">
        <v>52</v>
      </c>
      <c r="U126" t="s">
        <v>52</v>
      </c>
      <c r="V126" t="s">
        <v>52</v>
      </c>
      <c r="W126" t="s">
        <v>52</v>
      </c>
      <c r="X126" t="s">
        <v>458</v>
      </c>
      <c r="Y126" t="s">
        <v>1452</v>
      </c>
      <c r="Z126">
        <v>0.31</v>
      </c>
      <c r="AA126">
        <v>0</v>
      </c>
      <c r="AB126" t="s">
        <v>52</v>
      </c>
      <c r="AC126" t="s">
        <v>52</v>
      </c>
      <c r="AD126" t="s">
        <v>52</v>
      </c>
      <c r="AE126" t="s">
        <v>52</v>
      </c>
      <c r="AF126" t="s">
        <v>1446</v>
      </c>
      <c r="AG126" t="s">
        <v>1453</v>
      </c>
      <c r="AH126" t="s">
        <v>501</v>
      </c>
      <c r="AI126" t="s">
        <v>52</v>
      </c>
      <c r="AJ126" t="s">
        <v>52</v>
      </c>
      <c r="AK126" t="s">
        <v>52</v>
      </c>
      <c r="AL126" t="s">
        <v>52</v>
      </c>
      <c r="AM126" t="s">
        <v>1414</v>
      </c>
    </row>
    <row r="127" spans="1:39" x14ac:dyDescent="0.35">
      <c r="A127" t="s">
        <v>39</v>
      </c>
      <c r="B127" t="s">
        <v>1454</v>
      </c>
      <c r="C127">
        <v>352490</v>
      </c>
      <c r="D127" t="s">
        <v>72</v>
      </c>
      <c r="E127" t="s">
        <v>1455</v>
      </c>
      <c r="F127" t="s">
        <v>1413</v>
      </c>
      <c r="G127" t="s">
        <v>44</v>
      </c>
      <c r="H127" t="s">
        <v>45</v>
      </c>
      <c r="I127" t="s">
        <v>108</v>
      </c>
      <c r="J127" t="s">
        <v>47</v>
      </c>
      <c r="K127" t="s">
        <v>79</v>
      </c>
      <c r="L127" t="s">
        <v>1414</v>
      </c>
      <c r="M127" t="s">
        <v>516</v>
      </c>
      <c r="N127" t="s">
        <v>51</v>
      </c>
      <c r="O127" t="s">
        <v>52</v>
      </c>
      <c r="P127" t="s">
        <v>344</v>
      </c>
      <c r="Q127" t="s">
        <v>1067</v>
      </c>
      <c r="R127" t="s">
        <v>1456</v>
      </c>
      <c r="S127" t="s">
        <v>52</v>
      </c>
      <c r="T127" t="s">
        <v>52</v>
      </c>
      <c r="U127" t="s">
        <v>52</v>
      </c>
      <c r="V127" t="s">
        <v>52</v>
      </c>
      <c r="W127" t="s">
        <v>52</v>
      </c>
      <c r="X127" t="s">
        <v>456</v>
      </c>
      <c r="Y127" t="s">
        <v>1457</v>
      </c>
      <c r="Z127">
        <v>5.49</v>
      </c>
      <c r="AA127">
        <v>0</v>
      </c>
      <c r="AB127" t="s">
        <v>52</v>
      </c>
      <c r="AC127" t="s">
        <v>52</v>
      </c>
      <c r="AD127" t="s">
        <v>52</v>
      </c>
      <c r="AE127" t="s">
        <v>52</v>
      </c>
      <c r="AF127" t="s">
        <v>1458</v>
      </c>
      <c r="AG127" t="s">
        <v>1459</v>
      </c>
      <c r="AH127" t="s">
        <v>1460</v>
      </c>
      <c r="AI127" t="s">
        <v>52</v>
      </c>
      <c r="AJ127" t="s">
        <v>52</v>
      </c>
      <c r="AK127" t="s">
        <v>52</v>
      </c>
      <c r="AL127" t="s">
        <v>52</v>
      </c>
      <c r="AM127" t="s">
        <v>1414</v>
      </c>
    </row>
    <row r="128" spans="1:39" x14ac:dyDescent="0.35">
      <c r="A128" t="s">
        <v>39</v>
      </c>
      <c r="B128" t="s">
        <v>1461</v>
      </c>
      <c r="C128">
        <v>352939</v>
      </c>
      <c r="D128" t="s">
        <v>72</v>
      </c>
      <c r="E128" t="s">
        <v>1462</v>
      </c>
      <c r="F128" t="s">
        <v>1463</v>
      </c>
      <c r="G128" t="s">
        <v>44</v>
      </c>
      <c r="H128" t="s">
        <v>45</v>
      </c>
      <c r="I128" t="s">
        <v>108</v>
      </c>
      <c r="J128" t="s">
        <v>47</v>
      </c>
      <c r="K128" t="s">
        <v>79</v>
      </c>
      <c r="L128" t="s">
        <v>1414</v>
      </c>
      <c r="M128" t="s">
        <v>516</v>
      </c>
      <c r="N128" t="s">
        <v>51</v>
      </c>
      <c r="O128" t="s">
        <v>1464</v>
      </c>
      <c r="P128" t="s">
        <v>166</v>
      </c>
      <c r="Q128" t="s">
        <v>166</v>
      </c>
      <c r="R128" t="s">
        <v>1465</v>
      </c>
      <c r="S128" t="s">
        <v>52</v>
      </c>
      <c r="T128" t="s">
        <v>52</v>
      </c>
      <c r="U128" t="s">
        <v>52</v>
      </c>
      <c r="V128" t="s">
        <v>52</v>
      </c>
      <c r="W128" t="s">
        <v>325</v>
      </c>
      <c r="X128" t="s">
        <v>1466</v>
      </c>
      <c r="Y128" t="s">
        <v>1466</v>
      </c>
      <c r="Z128">
        <v>0.53</v>
      </c>
      <c r="AA128">
        <v>0</v>
      </c>
      <c r="AB128" t="s">
        <v>52</v>
      </c>
      <c r="AC128" t="s">
        <v>52</v>
      </c>
      <c r="AD128" t="s">
        <v>52</v>
      </c>
      <c r="AE128" t="s">
        <v>1467</v>
      </c>
      <c r="AF128" t="s">
        <v>1468</v>
      </c>
      <c r="AG128" t="s">
        <v>1468</v>
      </c>
      <c r="AH128" t="s">
        <v>1469</v>
      </c>
      <c r="AI128" t="s">
        <v>52</v>
      </c>
      <c r="AJ128" t="s">
        <v>52</v>
      </c>
      <c r="AK128" t="s">
        <v>52</v>
      </c>
      <c r="AL128" t="s">
        <v>52</v>
      </c>
      <c r="AM128" t="s">
        <v>1414</v>
      </c>
    </row>
    <row r="129" spans="1:39" x14ac:dyDescent="0.35">
      <c r="A129" t="s">
        <v>39</v>
      </c>
      <c r="B129" t="s">
        <v>1470</v>
      </c>
      <c r="C129">
        <v>352940</v>
      </c>
      <c r="D129" t="s">
        <v>72</v>
      </c>
      <c r="E129" t="s">
        <v>1471</v>
      </c>
      <c r="F129" t="s">
        <v>1463</v>
      </c>
      <c r="G129" t="s">
        <v>44</v>
      </c>
      <c r="H129" t="s">
        <v>45</v>
      </c>
      <c r="I129" t="s">
        <v>108</v>
      </c>
      <c r="J129" t="s">
        <v>47</v>
      </c>
      <c r="K129" t="s">
        <v>79</v>
      </c>
      <c r="L129" t="s">
        <v>1414</v>
      </c>
      <c r="M129" t="s">
        <v>516</v>
      </c>
      <c r="N129" t="s">
        <v>51</v>
      </c>
      <c r="O129" t="s">
        <v>1472</v>
      </c>
      <c r="P129" t="s">
        <v>334</v>
      </c>
      <c r="Q129" t="s">
        <v>166</v>
      </c>
      <c r="R129" t="s">
        <v>1473</v>
      </c>
      <c r="S129" t="s">
        <v>52</v>
      </c>
      <c r="T129" t="s">
        <v>52</v>
      </c>
      <c r="U129" t="s">
        <v>52</v>
      </c>
      <c r="V129" t="s">
        <v>52</v>
      </c>
      <c r="W129" t="s">
        <v>324</v>
      </c>
      <c r="X129" t="s">
        <v>1466</v>
      </c>
      <c r="Y129" t="s">
        <v>458</v>
      </c>
      <c r="Z129">
        <v>1.52</v>
      </c>
      <c r="AA129">
        <v>0</v>
      </c>
      <c r="AB129" t="s">
        <v>52</v>
      </c>
      <c r="AC129" t="s">
        <v>52</v>
      </c>
      <c r="AD129" t="s">
        <v>52</v>
      </c>
      <c r="AE129" t="s">
        <v>1474</v>
      </c>
      <c r="AF129" t="s">
        <v>1475</v>
      </c>
      <c r="AG129" t="s">
        <v>1476</v>
      </c>
      <c r="AH129" t="s">
        <v>1477</v>
      </c>
      <c r="AI129" t="s">
        <v>52</v>
      </c>
      <c r="AJ129" t="s">
        <v>52</v>
      </c>
      <c r="AK129" t="s">
        <v>52</v>
      </c>
      <c r="AL129" t="s">
        <v>52</v>
      </c>
      <c r="AM129" t="s">
        <v>1414</v>
      </c>
    </row>
    <row r="130" spans="1:39" x14ac:dyDescent="0.35">
      <c r="A130" t="s">
        <v>39</v>
      </c>
      <c r="B130" t="s">
        <v>1478</v>
      </c>
      <c r="C130">
        <v>353077</v>
      </c>
      <c r="D130" t="s">
        <v>72</v>
      </c>
      <c r="E130" t="s">
        <v>1479</v>
      </c>
      <c r="F130" t="s">
        <v>215</v>
      </c>
      <c r="G130" t="s">
        <v>44</v>
      </c>
      <c r="H130" t="s">
        <v>45</v>
      </c>
      <c r="I130" t="s">
        <v>108</v>
      </c>
      <c r="J130" t="s">
        <v>47</v>
      </c>
      <c r="K130" t="s">
        <v>79</v>
      </c>
      <c r="L130" t="s">
        <v>1480</v>
      </c>
      <c r="M130" t="s">
        <v>1481</v>
      </c>
      <c r="N130" t="s">
        <v>51</v>
      </c>
      <c r="O130" t="s">
        <v>52</v>
      </c>
      <c r="P130" t="s">
        <v>52</v>
      </c>
      <c r="Q130" t="s">
        <v>1482</v>
      </c>
      <c r="R130" t="s">
        <v>1482</v>
      </c>
      <c r="S130" t="s">
        <v>1483</v>
      </c>
      <c r="T130" t="s">
        <v>883</v>
      </c>
      <c r="U130" t="s">
        <v>1484</v>
      </c>
      <c r="V130" t="s">
        <v>883</v>
      </c>
      <c r="W130" t="s">
        <v>52</v>
      </c>
      <c r="X130" t="s">
        <v>52</v>
      </c>
      <c r="Y130" t="s">
        <v>1485</v>
      </c>
      <c r="Z130">
        <v>5.67</v>
      </c>
      <c r="AA130">
        <v>2.82</v>
      </c>
      <c r="AB130" t="s">
        <v>1486</v>
      </c>
      <c r="AC130" t="s">
        <v>1487</v>
      </c>
      <c r="AD130" t="s">
        <v>1486</v>
      </c>
      <c r="AE130" t="s">
        <v>52</v>
      </c>
      <c r="AF130" t="s">
        <v>52</v>
      </c>
      <c r="AG130" t="s">
        <v>1488</v>
      </c>
      <c r="AH130" t="s">
        <v>1488</v>
      </c>
      <c r="AI130" t="s">
        <v>1489</v>
      </c>
      <c r="AJ130" t="s">
        <v>1490</v>
      </c>
      <c r="AK130" t="s">
        <v>1491</v>
      </c>
      <c r="AL130" t="s">
        <v>1490</v>
      </c>
      <c r="AM130" t="s">
        <v>1492</v>
      </c>
    </row>
    <row r="131" spans="1:39" x14ac:dyDescent="0.35">
      <c r="A131" t="s">
        <v>39</v>
      </c>
      <c r="B131" t="s">
        <v>1493</v>
      </c>
      <c r="C131">
        <v>353083</v>
      </c>
      <c r="D131" t="s">
        <v>72</v>
      </c>
      <c r="E131" t="s">
        <v>1494</v>
      </c>
      <c r="F131" t="s">
        <v>215</v>
      </c>
      <c r="G131" t="s">
        <v>44</v>
      </c>
      <c r="H131" t="s">
        <v>45</v>
      </c>
      <c r="I131" t="s">
        <v>108</v>
      </c>
      <c r="J131" t="s">
        <v>47</v>
      </c>
      <c r="K131" t="s">
        <v>79</v>
      </c>
      <c r="L131" t="s">
        <v>1480</v>
      </c>
      <c r="M131" t="s">
        <v>935</v>
      </c>
      <c r="N131" t="s">
        <v>51</v>
      </c>
      <c r="O131" t="s">
        <v>52</v>
      </c>
      <c r="P131" t="s">
        <v>52</v>
      </c>
      <c r="Q131" t="s">
        <v>52</v>
      </c>
      <c r="R131" t="s">
        <v>52</v>
      </c>
      <c r="S131" t="s">
        <v>52</v>
      </c>
      <c r="T131" t="s">
        <v>52</v>
      </c>
      <c r="U131" t="s">
        <v>52</v>
      </c>
      <c r="V131" t="s">
        <v>52</v>
      </c>
      <c r="W131" t="s">
        <v>52</v>
      </c>
      <c r="X131" t="s">
        <v>52</v>
      </c>
      <c r="Y131" t="s">
        <v>52</v>
      </c>
      <c r="Z131">
        <v>0</v>
      </c>
      <c r="AA131">
        <v>0</v>
      </c>
      <c r="AB131" t="s">
        <v>52</v>
      </c>
      <c r="AC131" t="s">
        <v>52</v>
      </c>
      <c r="AD131" t="s">
        <v>52</v>
      </c>
      <c r="AE131" t="s">
        <v>52</v>
      </c>
      <c r="AF131" t="s">
        <v>52</v>
      </c>
      <c r="AG131" t="s">
        <v>52</v>
      </c>
      <c r="AH131" t="s">
        <v>52</v>
      </c>
      <c r="AI131" t="s">
        <v>52</v>
      </c>
      <c r="AJ131" t="s">
        <v>52</v>
      </c>
      <c r="AK131" t="s">
        <v>52</v>
      </c>
      <c r="AL131" t="s">
        <v>52</v>
      </c>
      <c r="AM131" t="s">
        <v>1492</v>
      </c>
    </row>
    <row r="132" spans="1:39" x14ac:dyDescent="0.35">
      <c r="A132" t="s">
        <v>39</v>
      </c>
      <c r="B132" t="s">
        <v>1495</v>
      </c>
      <c r="C132">
        <v>353086</v>
      </c>
      <c r="D132" t="s">
        <v>72</v>
      </c>
      <c r="E132" t="s">
        <v>1496</v>
      </c>
      <c r="F132" t="s">
        <v>215</v>
      </c>
      <c r="G132" t="s">
        <v>44</v>
      </c>
      <c r="H132" t="s">
        <v>45</v>
      </c>
      <c r="I132" t="s">
        <v>108</v>
      </c>
      <c r="J132" t="s">
        <v>47</v>
      </c>
      <c r="K132" t="s">
        <v>79</v>
      </c>
      <c r="L132" t="s">
        <v>1480</v>
      </c>
      <c r="M132" t="s">
        <v>935</v>
      </c>
      <c r="N132" t="s">
        <v>51</v>
      </c>
      <c r="O132" t="s">
        <v>1497</v>
      </c>
      <c r="P132" t="s">
        <v>1498</v>
      </c>
      <c r="Q132" t="s">
        <v>1499</v>
      </c>
      <c r="R132" t="s">
        <v>1500</v>
      </c>
      <c r="S132" t="s">
        <v>1501</v>
      </c>
      <c r="T132" t="s">
        <v>1502</v>
      </c>
      <c r="U132" t="s">
        <v>1502</v>
      </c>
      <c r="V132" t="s">
        <v>1502</v>
      </c>
      <c r="W132" t="s">
        <v>1503</v>
      </c>
      <c r="X132" t="s">
        <v>1418</v>
      </c>
      <c r="Y132" t="s">
        <v>1418</v>
      </c>
      <c r="Z132">
        <v>11.02</v>
      </c>
      <c r="AA132">
        <v>9.18</v>
      </c>
      <c r="AB132" t="s">
        <v>1504</v>
      </c>
      <c r="AC132" t="s">
        <v>1504</v>
      </c>
      <c r="AD132" t="s">
        <v>1504</v>
      </c>
      <c r="AE132" t="s">
        <v>1505</v>
      </c>
      <c r="AF132" t="s">
        <v>1506</v>
      </c>
      <c r="AG132" t="s">
        <v>1507</v>
      </c>
      <c r="AH132" t="s">
        <v>1508</v>
      </c>
      <c r="AI132" t="s">
        <v>1509</v>
      </c>
      <c r="AJ132" t="s">
        <v>1510</v>
      </c>
      <c r="AK132" t="s">
        <v>1510</v>
      </c>
      <c r="AL132" t="s">
        <v>1510</v>
      </c>
      <c r="AM132" t="s">
        <v>1492</v>
      </c>
    </row>
    <row r="133" spans="1:39" x14ac:dyDescent="0.35">
      <c r="A133" t="s">
        <v>39</v>
      </c>
      <c r="B133" t="s">
        <v>1511</v>
      </c>
      <c r="C133">
        <v>353087</v>
      </c>
      <c r="D133" t="s">
        <v>72</v>
      </c>
      <c r="E133" t="s">
        <v>1512</v>
      </c>
      <c r="F133" t="s">
        <v>215</v>
      </c>
      <c r="G133" t="s">
        <v>44</v>
      </c>
      <c r="H133" t="s">
        <v>45</v>
      </c>
      <c r="I133" t="s">
        <v>108</v>
      </c>
      <c r="J133" t="s">
        <v>47</v>
      </c>
      <c r="K133" t="s">
        <v>79</v>
      </c>
      <c r="L133" t="s">
        <v>1480</v>
      </c>
      <c r="M133" t="s">
        <v>935</v>
      </c>
      <c r="N133" t="s">
        <v>51</v>
      </c>
      <c r="O133" t="s">
        <v>1513</v>
      </c>
      <c r="P133" t="s">
        <v>1514</v>
      </c>
      <c r="Q133" t="s">
        <v>1515</v>
      </c>
      <c r="R133" t="s">
        <v>1516</v>
      </c>
      <c r="S133" t="s">
        <v>1516</v>
      </c>
      <c r="T133" t="s">
        <v>1514</v>
      </c>
      <c r="U133" t="s">
        <v>1514</v>
      </c>
      <c r="V133" t="s">
        <v>1514</v>
      </c>
      <c r="W133" t="s">
        <v>1517</v>
      </c>
      <c r="X133" t="s">
        <v>1518</v>
      </c>
      <c r="Y133" t="s">
        <v>1519</v>
      </c>
      <c r="Z133">
        <v>3.92</v>
      </c>
      <c r="AA133">
        <v>3.92</v>
      </c>
      <c r="AB133" t="s">
        <v>1518</v>
      </c>
      <c r="AC133" t="s">
        <v>1518</v>
      </c>
      <c r="AD133" t="s">
        <v>1518</v>
      </c>
      <c r="AE133" t="s">
        <v>1520</v>
      </c>
      <c r="AF133" t="s">
        <v>1521</v>
      </c>
      <c r="AG133" t="s">
        <v>1522</v>
      </c>
      <c r="AH133" t="s">
        <v>1523</v>
      </c>
      <c r="AI133" t="s">
        <v>1523</v>
      </c>
      <c r="AJ133" t="s">
        <v>1521</v>
      </c>
      <c r="AK133" t="s">
        <v>1521</v>
      </c>
      <c r="AL133" t="s">
        <v>1521</v>
      </c>
      <c r="AM133" t="s">
        <v>1492</v>
      </c>
    </row>
    <row r="134" spans="1:39" x14ac:dyDescent="0.35">
      <c r="A134" t="s">
        <v>39</v>
      </c>
      <c r="B134" t="s">
        <v>1524</v>
      </c>
      <c r="C134">
        <v>353088</v>
      </c>
      <c r="D134" t="s">
        <v>72</v>
      </c>
      <c r="E134" t="s">
        <v>1525</v>
      </c>
      <c r="F134" t="s">
        <v>215</v>
      </c>
      <c r="G134" t="s">
        <v>44</v>
      </c>
      <c r="H134" t="s">
        <v>45</v>
      </c>
      <c r="I134" t="s">
        <v>108</v>
      </c>
      <c r="J134" t="s">
        <v>47</v>
      </c>
      <c r="K134" t="s">
        <v>79</v>
      </c>
      <c r="L134" t="s">
        <v>1480</v>
      </c>
      <c r="M134" t="s">
        <v>935</v>
      </c>
      <c r="N134" t="s">
        <v>51</v>
      </c>
      <c r="O134" t="s">
        <v>1526</v>
      </c>
      <c r="P134" t="s">
        <v>1161</v>
      </c>
      <c r="Q134" t="s">
        <v>1527</v>
      </c>
      <c r="R134" t="s">
        <v>1527</v>
      </c>
      <c r="S134" t="s">
        <v>1527</v>
      </c>
      <c r="T134" t="s">
        <v>1161</v>
      </c>
      <c r="U134" t="s">
        <v>1161</v>
      </c>
      <c r="V134" t="s">
        <v>1528</v>
      </c>
      <c r="W134" t="s">
        <v>1529</v>
      </c>
      <c r="X134" t="s">
        <v>1530</v>
      </c>
      <c r="Y134" t="s">
        <v>1531</v>
      </c>
      <c r="Z134">
        <v>4.68</v>
      </c>
      <c r="AA134">
        <v>4.68</v>
      </c>
      <c r="AB134" t="s">
        <v>1530</v>
      </c>
      <c r="AC134" t="s">
        <v>1530</v>
      </c>
      <c r="AD134" t="s">
        <v>1532</v>
      </c>
      <c r="AE134" t="s">
        <v>1533</v>
      </c>
      <c r="AF134" t="s">
        <v>1534</v>
      </c>
      <c r="AG134" t="s">
        <v>1535</v>
      </c>
      <c r="AH134" t="s">
        <v>1535</v>
      </c>
      <c r="AI134" t="s">
        <v>1535</v>
      </c>
      <c r="AJ134" t="s">
        <v>1534</v>
      </c>
      <c r="AK134" t="s">
        <v>1534</v>
      </c>
      <c r="AL134" t="s">
        <v>1536</v>
      </c>
      <c r="AM134" t="s">
        <v>1492</v>
      </c>
    </row>
    <row r="135" spans="1:39" x14ac:dyDescent="0.35">
      <c r="A135" t="s">
        <v>39</v>
      </c>
      <c r="B135" t="s">
        <v>1537</v>
      </c>
      <c r="C135">
        <v>353074</v>
      </c>
      <c r="D135" t="s">
        <v>72</v>
      </c>
      <c r="E135" t="s">
        <v>1538</v>
      </c>
      <c r="F135" t="s">
        <v>245</v>
      </c>
      <c r="G135" t="s">
        <v>44</v>
      </c>
      <c r="H135" t="s">
        <v>45</v>
      </c>
      <c r="I135" t="s">
        <v>108</v>
      </c>
      <c r="J135" t="s">
        <v>47</v>
      </c>
      <c r="K135" t="s">
        <v>79</v>
      </c>
      <c r="L135" t="s">
        <v>1480</v>
      </c>
      <c r="M135" t="s">
        <v>935</v>
      </c>
      <c r="N135" t="s">
        <v>51</v>
      </c>
      <c r="O135" t="s">
        <v>790</v>
      </c>
      <c r="P135" t="s">
        <v>1539</v>
      </c>
      <c r="Q135" t="s">
        <v>1540</v>
      </c>
      <c r="R135" t="s">
        <v>1541</v>
      </c>
      <c r="S135" t="s">
        <v>1542</v>
      </c>
      <c r="T135" t="s">
        <v>1543</v>
      </c>
      <c r="U135" t="s">
        <v>1539</v>
      </c>
      <c r="V135" t="s">
        <v>52</v>
      </c>
      <c r="W135" t="s">
        <v>169</v>
      </c>
      <c r="X135" t="s">
        <v>786</v>
      </c>
      <c r="Y135" t="s">
        <v>786</v>
      </c>
      <c r="Z135">
        <v>1.69</v>
      </c>
      <c r="AA135">
        <v>1.45</v>
      </c>
      <c r="AB135" t="s">
        <v>1082</v>
      </c>
      <c r="AC135" t="s">
        <v>786</v>
      </c>
      <c r="AD135" t="s">
        <v>52</v>
      </c>
      <c r="AE135" t="s">
        <v>1544</v>
      </c>
      <c r="AF135" t="s">
        <v>1545</v>
      </c>
      <c r="AG135" t="s">
        <v>1546</v>
      </c>
      <c r="AH135" t="s">
        <v>899</v>
      </c>
      <c r="AI135" t="s">
        <v>1547</v>
      </c>
      <c r="AJ135" t="s">
        <v>1548</v>
      </c>
      <c r="AK135" t="s">
        <v>1545</v>
      </c>
      <c r="AL135" t="s">
        <v>52</v>
      </c>
      <c r="AM135" t="s">
        <v>1492</v>
      </c>
    </row>
    <row r="136" spans="1:39" x14ac:dyDescent="0.35">
      <c r="A136" t="s">
        <v>39</v>
      </c>
      <c r="B136" t="s">
        <v>1549</v>
      </c>
      <c r="C136">
        <v>353090</v>
      </c>
      <c r="D136" t="s">
        <v>72</v>
      </c>
      <c r="E136" t="s">
        <v>1550</v>
      </c>
      <c r="F136" t="s">
        <v>245</v>
      </c>
      <c r="G136" t="s">
        <v>44</v>
      </c>
      <c r="H136" t="s">
        <v>45</v>
      </c>
      <c r="I136" t="s">
        <v>108</v>
      </c>
      <c r="J136" t="s">
        <v>47</v>
      </c>
      <c r="K136" t="s">
        <v>79</v>
      </c>
      <c r="L136" t="s">
        <v>1480</v>
      </c>
      <c r="M136" t="s">
        <v>367</v>
      </c>
      <c r="N136" t="s">
        <v>51</v>
      </c>
      <c r="O136" t="s">
        <v>1551</v>
      </c>
      <c r="P136" t="s">
        <v>1552</v>
      </c>
      <c r="Q136" t="s">
        <v>52</v>
      </c>
      <c r="R136" t="s">
        <v>52</v>
      </c>
      <c r="S136" t="s">
        <v>52</v>
      </c>
      <c r="T136" t="s">
        <v>52</v>
      </c>
      <c r="U136" t="s">
        <v>52</v>
      </c>
      <c r="V136" t="s">
        <v>52</v>
      </c>
      <c r="W136" t="s">
        <v>1553</v>
      </c>
      <c r="X136" t="s">
        <v>242</v>
      </c>
      <c r="Y136" t="s">
        <v>52</v>
      </c>
      <c r="Z136">
        <v>0</v>
      </c>
      <c r="AA136">
        <v>0</v>
      </c>
      <c r="AB136" t="s">
        <v>52</v>
      </c>
      <c r="AC136" t="s">
        <v>52</v>
      </c>
      <c r="AD136" t="s">
        <v>52</v>
      </c>
      <c r="AE136" t="s">
        <v>1554</v>
      </c>
      <c r="AF136" t="s">
        <v>1555</v>
      </c>
      <c r="AG136" t="s">
        <v>52</v>
      </c>
      <c r="AH136" t="s">
        <v>52</v>
      </c>
      <c r="AI136" t="s">
        <v>52</v>
      </c>
      <c r="AJ136" t="s">
        <v>52</v>
      </c>
      <c r="AK136" t="s">
        <v>52</v>
      </c>
      <c r="AL136" t="s">
        <v>52</v>
      </c>
      <c r="AM136" t="s">
        <v>1492</v>
      </c>
    </row>
    <row r="137" spans="1:39" x14ac:dyDescent="0.35">
      <c r="A137" t="s">
        <v>39</v>
      </c>
      <c r="B137" t="s">
        <v>1556</v>
      </c>
      <c r="C137">
        <v>353081</v>
      </c>
      <c r="D137" t="s">
        <v>72</v>
      </c>
      <c r="E137" t="s">
        <v>1557</v>
      </c>
      <c r="F137" t="s">
        <v>1558</v>
      </c>
      <c r="G137" t="s">
        <v>44</v>
      </c>
      <c r="H137" t="s">
        <v>45</v>
      </c>
      <c r="I137" t="s">
        <v>188</v>
      </c>
      <c r="J137" t="s">
        <v>47</v>
      </c>
      <c r="K137" t="s">
        <v>79</v>
      </c>
      <c r="L137" t="s">
        <v>1480</v>
      </c>
      <c r="M137" t="s">
        <v>935</v>
      </c>
      <c r="N137" t="s">
        <v>51</v>
      </c>
      <c r="O137" t="s">
        <v>311</v>
      </c>
      <c r="P137" t="s">
        <v>669</v>
      </c>
      <c r="Q137" t="s">
        <v>1559</v>
      </c>
      <c r="R137" t="s">
        <v>1560</v>
      </c>
      <c r="S137" t="s">
        <v>1559</v>
      </c>
      <c r="T137" t="s">
        <v>669</v>
      </c>
      <c r="U137" t="s">
        <v>669</v>
      </c>
      <c r="V137" t="s">
        <v>669</v>
      </c>
      <c r="W137" t="s">
        <v>1136</v>
      </c>
      <c r="X137" t="s">
        <v>1384</v>
      </c>
      <c r="Y137" t="s">
        <v>1384</v>
      </c>
      <c r="Z137">
        <v>1.92</v>
      </c>
      <c r="AA137">
        <v>1.6</v>
      </c>
      <c r="AB137" t="s">
        <v>1384</v>
      </c>
      <c r="AC137" t="s">
        <v>1384</v>
      </c>
      <c r="AD137" t="s">
        <v>1384</v>
      </c>
      <c r="AE137" t="s">
        <v>1561</v>
      </c>
      <c r="AF137" t="s">
        <v>1562</v>
      </c>
      <c r="AG137" t="s">
        <v>1563</v>
      </c>
      <c r="AH137" t="s">
        <v>1564</v>
      </c>
      <c r="AI137" t="s">
        <v>1565</v>
      </c>
      <c r="AJ137" t="s">
        <v>1562</v>
      </c>
      <c r="AK137" t="s">
        <v>1562</v>
      </c>
      <c r="AL137" t="s">
        <v>1562</v>
      </c>
      <c r="AM137" t="s">
        <v>1492</v>
      </c>
    </row>
    <row r="138" spans="1:39" x14ac:dyDescent="0.35">
      <c r="A138" t="s">
        <v>39</v>
      </c>
      <c r="B138" t="s">
        <v>1566</v>
      </c>
      <c r="C138">
        <v>353045</v>
      </c>
      <c r="D138" t="s">
        <v>72</v>
      </c>
      <c r="E138" t="s">
        <v>1567</v>
      </c>
      <c r="F138" t="s">
        <v>1173</v>
      </c>
      <c r="G138" t="s">
        <v>44</v>
      </c>
      <c r="H138" t="s">
        <v>45</v>
      </c>
      <c r="I138" t="s">
        <v>1568</v>
      </c>
      <c r="J138" t="s">
        <v>47</v>
      </c>
      <c r="K138" t="s">
        <v>79</v>
      </c>
      <c r="L138" t="s">
        <v>1480</v>
      </c>
      <c r="M138" t="s">
        <v>882</v>
      </c>
      <c r="N138" t="s">
        <v>51</v>
      </c>
      <c r="O138" t="s">
        <v>1569</v>
      </c>
      <c r="P138" t="s">
        <v>52</v>
      </c>
      <c r="Q138" t="s">
        <v>1570</v>
      </c>
      <c r="R138" t="s">
        <v>1570</v>
      </c>
      <c r="S138" t="s">
        <v>1570</v>
      </c>
      <c r="T138" t="s">
        <v>52</v>
      </c>
      <c r="U138" t="s">
        <v>52</v>
      </c>
      <c r="V138" t="s">
        <v>52</v>
      </c>
      <c r="W138" t="s">
        <v>1134</v>
      </c>
      <c r="X138" t="s">
        <v>52</v>
      </c>
      <c r="Y138" t="s">
        <v>1571</v>
      </c>
      <c r="Z138">
        <v>1.25</v>
      </c>
      <c r="AA138">
        <v>1.25</v>
      </c>
      <c r="AB138" t="s">
        <v>52</v>
      </c>
      <c r="AC138" t="s">
        <v>52</v>
      </c>
      <c r="AD138" t="s">
        <v>52</v>
      </c>
      <c r="AE138" t="s">
        <v>1572</v>
      </c>
      <c r="AF138" t="s">
        <v>52</v>
      </c>
      <c r="AG138" t="s">
        <v>1573</v>
      </c>
      <c r="AH138" t="s">
        <v>1573</v>
      </c>
      <c r="AI138" t="s">
        <v>1573</v>
      </c>
      <c r="AJ138" t="s">
        <v>52</v>
      </c>
      <c r="AK138" t="s">
        <v>52</v>
      </c>
      <c r="AL138" t="s">
        <v>52</v>
      </c>
      <c r="AM138" t="s">
        <v>1492</v>
      </c>
    </row>
    <row r="139" spans="1:39" x14ac:dyDescent="0.35">
      <c r="A139" t="s">
        <v>39</v>
      </c>
      <c r="B139" t="s">
        <v>1574</v>
      </c>
      <c r="C139">
        <v>353091</v>
      </c>
      <c r="D139" t="s">
        <v>72</v>
      </c>
      <c r="E139" t="s">
        <v>1575</v>
      </c>
      <c r="F139" t="s">
        <v>1576</v>
      </c>
      <c r="G139" t="s">
        <v>44</v>
      </c>
      <c r="H139" t="s">
        <v>45</v>
      </c>
      <c r="I139" t="s">
        <v>108</v>
      </c>
      <c r="J139" t="s">
        <v>47</v>
      </c>
      <c r="K139" t="s">
        <v>79</v>
      </c>
      <c r="L139" t="s">
        <v>1480</v>
      </c>
      <c r="M139" t="s">
        <v>935</v>
      </c>
      <c r="N139" t="s">
        <v>51</v>
      </c>
      <c r="O139" t="s">
        <v>1577</v>
      </c>
      <c r="P139" t="s">
        <v>1578</v>
      </c>
      <c r="Q139" t="s">
        <v>1579</v>
      </c>
      <c r="R139" t="s">
        <v>1580</v>
      </c>
      <c r="S139" t="s">
        <v>1581</v>
      </c>
      <c r="T139" t="s">
        <v>1578</v>
      </c>
      <c r="U139" t="s">
        <v>1578</v>
      </c>
      <c r="V139" t="s">
        <v>1578</v>
      </c>
      <c r="W139" t="s">
        <v>1582</v>
      </c>
      <c r="X139" t="s">
        <v>1583</v>
      </c>
      <c r="Y139" t="s">
        <v>1584</v>
      </c>
      <c r="Z139">
        <v>57.99</v>
      </c>
      <c r="AA139">
        <v>49.72</v>
      </c>
      <c r="AB139" t="s">
        <v>1583</v>
      </c>
      <c r="AC139" t="s">
        <v>1583</v>
      </c>
      <c r="AD139" t="s">
        <v>1583</v>
      </c>
      <c r="AE139" t="s">
        <v>1585</v>
      </c>
      <c r="AF139" t="s">
        <v>1586</v>
      </c>
      <c r="AG139" t="s">
        <v>1587</v>
      </c>
      <c r="AH139" t="s">
        <v>1588</v>
      </c>
      <c r="AI139" t="s">
        <v>1589</v>
      </c>
      <c r="AJ139" t="s">
        <v>1586</v>
      </c>
      <c r="AK139" t="s">
        <v>1586</v>
      </c>
      <c r="AL139" t="s">
        <v>1586</v>
      </c>
      <c r="AM139" t="s">
        <v>1492</v>
      </c>
    </row>
    <row r="140" spans="1:39" x14ac:dyDescent="0.35">
      <c r="A140" t="s">
        <v>39</v>
      </c>
      <c r="B140" t="s">
        <v>1590</v>
      </c>
      <c r="C140">
        <v>353080</v>
      </c>
      <c r="D140" t="s">
        <v>72</v>
      </c>
      <c r="E140" t="s">
        <v>1591</v>
      </c>
      <c r="F140" t="s">
        <v>1592</v>
      </c>
      <c r="G140" t="s">
        <v>44</v>
      </c>
      <c r="H140" t="s">
        <v>45</v>
      </c>
      <c r="I140" t="s">
        <v>188</v>
      </c>
      <c r="J140" t="s">
        <v>47</v>
      </c>
      <c r="K140" t="s">
        <v>79</v>
      </c>
      <c r="L140" t="s">
        <v>1480</v>
      </c>
      <c r="M140" t="s">
        <v>935</v>
      </c>
      <c r="N140" t="s">
        <v>51</v>
      </c>
      <c r="O140" t="s">
        <v>1593</v>
      </c>
      <c r="P140" t="s">
        <v>1594</v>
      </c>
      <c r="Q140" t="s">
        <v>1595</v>
      </c>
      <c r="R140" t="s">
        <v>1596</v>
      </c>
      <c r="S140" t="s">
        <v>1597</v>
      </c>
      <c r="T140" t="s">
        <v>1598</v>
      </c>
      <c r="U140" t="s">
        <v>1598</v>
      </c>
      <c r="V140" t="s">
        <v>1595</v>
      </c>
      <c r="W140" t="s">
        <v>1599</v>
      </c>
      <c r="X140" t="s">
        <v>1600</v>
      </c>
      <c r="Y140" t="s">
        <v>1601</v>
      </c>
      <c r="Z140">
        <v>2.29</v>
      </c>
      <c r="AA140">
        <v>3.06</v>
      </c>
      <c r="AB140" t="s">
        <v>1602</v>
      </c>
      <c r="AC140" t="s">
        <v>1602</v>
      </c>
      <c r="AD140" t="s">
        <v>1601</v>
      </c>
      <c r="AE140" t="s">
        <v>1603</v>
      </c>
      <c r="AF140" t="s">
        <v>1604</v>
      </c>
      <c r="AG140" t="s">
        <v>1605</v>
      </c>
      <c r="AH140" t="s">
        <v>1606</v>
      </c>
      <c r="AI140" t="s">
        <v>1607</v>
      </c>
      <c r="AJ140" t="s">
        <v>1608</v>
      </c>
      <c r="AK140" t="s">
        <v>1608</v>
      </c>
      <c r="AL140" t="s">
        <v>1605</v>
      </c>
      <c r="AM140" t="s">
        <v>1492</v>
      </c>
    </row>
    <row r="141" spans="1:39" x14ac:dyDescent="0.35">
      <c r="A141" t="s">
        <v>39</v>
      </c>
      <c r="B141" t="s">
        <v>1609</v>
      </c>
      <c r="C141">
        <v>353082</v>
      </c>
      <c r="D141" t="s">
        <v>72</v>
      </c>
      <c r="E141" t="s">
        <v>1610</v>
      </c>
      <c r="F141" t="s">
        <v>1592</v>
      </c>
      <c r="G141" t="s">
        <v>44</v>
      </c>
      <c r="H141" t="s">
        <v>45</v>
      </c>
      <c r="I141" t="s">
        <v>188</v>
      </c>
      <c r="J141" t="s">
        <v>47</v>
      </c>
      <c r="K141" t="s">
        <v>79</v>
      </c>
      <c r="L141" t="s">
        <v>1480</v>
      </c>
      <c r="M141" t="s">
        <v>935</v>
      </c>
      <c r="N141" t="s">
        <v>51</v>
      </c>
      <c r="O141" t="s">
        <v>1611</v>
      </c>
      <c r="P141" t="s">
        <v>1612</v>
      </c>
      <c r="Q141" t="s">
        <v>1613</v>
      </c>
      <c r="R141" t="s">
        <v>1614</v>
      </c>
      <c r="S141" t="s">
        <v>1615</v>
      </c>
      <c r="T141" t="s">
        <v>1616</v>
      </c>
      <c r="U141" t="s">
        <v>1612</v>
      </c>
      <c r="V141" t="s">
        <v>1612</v>
      </c>
      <c r="W141" t="s">
        <v>277</v>
      </c>
      <c r="X141" t="s">
        <v>1617</v>
      </c>
      <c r="Y141" t="s">
        <v>1618</v>
      </c>
      <c r="Z141">
        <v>8.4700000000000006</v>
      </c>
      <c r="AA141">
        <v>7.25</v>
      </c>
      <c r="AB141" t="s">
        <v>1619</v>
      </c>
      <c r="AC141" t="s">
        <v>1617</v>
      </c>
      <c r="AD141" t="s">
        <v>1617</v>
      </c>
      <c r="AE141" t="s">
        <v>1620</v>
      </c>
      <c r="AF141" t="s">
        <v>1621</v>
      </c>
      <c r="AG141" t="s">
        <v>1622</v>
      </c>
      <c r="AH141" t="s">
        <v>1623</v>
      </c>
      <c r="AI141" t="s">
        <v>1624</v>
      </c>
      <c r="AJ141" t="s">
        <v>1625</v>
      </c>
      <c r="AK141" t="s">
        <v>1621</v>
      </c>
      <c r="AL141" t="s">
        <v>1621</v>
      </c>
      <c r="AM141" t="s">
        <v>1492</v>
      </c>
    </row>
    <row r="142" spans="1:39" x14ac:dyDescent="0.35">
      <c r="A142" t="s">
        <v>39</v>
      </c>
      <c r="B142" t="s">
        <v>1626</v>
      </c>
      <c r="C142">
        <v>353071</v>
      </c>
      <c r="D142" t="s">
        <v>72</v>
      </c>
      <c r="E142" t="s">
        <v>1627</v>
      </c>
      <c r="F142" t="s">
        <v>1628</v>
      </c>
      <c r="G142" t="s">
        <v>44</v>
      </c>
      <c r="H142" t="s">
        <v>45</v>
      </c>
      <c r="I142" t="s">
        <v>108</v>
      </c>
      <c r="J142" t="s">
        <v>47</v>
      </c>
      <c r="K142" t="s">
        <v>79</v>
      </c>
      <c r="L142" t="s">
        <v>1480</v>
      </c>
      <c r="M142" t="s">
        <v>935</v>
      </c>
      <c r="N142" t="s">
        <v>51</v>
      </c>
      <c r="O142" t="s">
        <v>700</v>
      </c>
      <c r="P142" t="s">
        <v>1629</v>
      </c>
      <c r="Q142" t="s">
        <v>1630</v>
      </c>
      <c r="R142" t="s">
        <v>1630</v>
      </c>
      <c r="S142" t="s">
        <v>1630</v>
      </c>
      <c r="T142" t="s">
        <v>1629</v>
      </c>
      <c r="U142" t="s">
        <v>1629</v>
      </c>
      <c r="V142" t="s">
        <v>1629</v>
      </c>
      <c r="W142" t="s">
        <v>1631</v>
      </c>
      <c r="X142" t="s">
        <v>1240</v>
      </c>
      <c r="Y142" t="s">
        <v>1617</v>
      </c>
      <c r="Z142">
        <v>7.28</v>
      </c>
      <c r="AA142">
        <v>7.28</v>
      </c>
      <c r="AB142" t="s">
        <v>1240</v>
      </c>
      <c r="AC142" t="s">
        <v>1240</v>
      </c>
      <c r="AD142" t="s">
        <v>1240</v>
      </c>
      <c r="AE142" t="s">
        <v>93</v>
      </c>
      <c r="AF142" t="s">
        <v>1632</v>
      </c>
      <c r="AG142" t="s">
        <v>1633</v>
      </c>
      <c r="AH142" t="s">
        <v>1633</v>
      </c>
      <c r="AI142" t="s">
        <v>1633</v>
      </c>
      <c r="AJ142" t="s">
        <v>1632</v>
      </c>
      <c r="AK142" t="s">
        <v>1632</v>
      </c>
      <c r="AL142" t="s">
        <v>1632</v>
      </c>
      <c r="AM142" t="s">
        <v>1492</v>
      </c>
    </row>
    <row r="143" spans="1:39" x14ac:dyDescent="0.35">
      <c r="A143" t="s">
        <v>39</v>
      </c>
      <c r="B143" t="s">
        <v>1634</v>
      </c>
      <c r="C143">
        <v>353072</v>
      </c>
      <c r="D143" t="s">
        <v>72</v>
      </c>
      <c r="E143" t="s">
        <v>1635</v>
      </c>
      <c r="F143" t="s">
        <v>1628</v>
      </c>
      <c r="G143" t="s">
        <v>44</v>
      </c>
      <c r="H143" t="s">
        <v>45</v>
      </c>
      <c r="I143" t="s">
        <v>108</v>
      </c>
      <c r="J143" t="s">
        <v>47</v>
      </c>
      <c r="K143" t="s">
        <v>79</v>
      </c>
      <c r="L143" t="s">
        <v>1480</v>
      </c>
      <c r="M143" t="s">
        <v>935</v>
      </c>
      <c r="N143" t="s">
        <v>51</v>
      </c>
      <c r="O143" t="s">
        <v>1636</v>
      </c>
      <c r="P143" t="s">
        <v>1637</v>
      </c>
      <c r="Q143" t="s">
        <v>1638</v>
      </c>
      <c r="R143" t="s">
        <v>1639</v>
      </c>
      <c r="S143" t="s">
        <v>1639</v>
      </c>
      <c r="T143" t="s">
        <v>1640</v>
      </c>
      <c r="U143" t="s">
        <v>1637</v>
      </c>
      <c r="V143" t="s">
        <v>1637</v>
      </c>
      <c r="W143" t="s">
        <v>704</v>
      </c>
      <c r="X143" t="s">
        <v>1641</v>
      </c>
      <c r="Y143" t="s">
        <v>1321</v>
      </c>
      <c r="Z143">
        <v>3.81</v>
      </c>
      <c r="AA143">
        <v>3.81</v>
      </c>
      <c r="AB143" t="s">
        <v>1642</v>
      </c>
      <c r="AC143" t="s">
        <v>1641</v>
      </c>
      <c r="AD143" t="s">
        <v>1641</v>
      </c>
      <c r="AE143" t="s">
        <v>1643</v>
      </c>
      <c r="AF143" t="s">
        <v>1644</v>
      </c>
      <c r="AG143" t="s">
        <v>1645</v>
      </c>
      <c r="AH143" t="s">
        <v>1646</v>
      </c>
      <c r="AI143" t="s">
        <v>1646</v>
      </c>
      <c r="AJ143" t="s">
        <v>1647</v>
      </c>
      <c r="AK143" t="s">
        <v>1644</v>
      </c>
      <c r="AL143" t="s">
        <v>1644</v>
      </c>
      <c r="AM143" t="s">
        <v>1492</v>
      </c>
    </row>
    <row r="144" spans="1:39" x14ac:dyDescent="0.35">
      <c r="A144" t="s">
        <v>39</v>
      </c>
      <c r="B144" t="s">
        <v>1648</v>
      </c>
      <c r="C144">
        <v>353073</v>
      </c>
      <c r="D144" t="s">
        <v>72</v>
      </c>
      <c r="E144" t="s">
        <v>1649</v>
      </c>
      <c r="F144" t="s">
        <v>1628</v>
      </c>
      <c r="G144" t="s">
        <v>44</v>
      </c>
      <c r="H144" t="s">
        <v>45</v>
      </c>
      <c r="I144" t="s">
        <v>108</v>
      </c>
      <c r="J144" t="s">
        <v>47</v>
      </c>
      <c r="K144" t="s">
        <v>79</v>
      </c>
      <c r="L144" t="s">
        <v>1480</v>
      </c>
      <c r="M144" t="s">
        <v>935</v>
      </c>
      <c r="N144" t="s">
        <v>51</v>
      </c>
      <c r="O144" t="s">
        <v>1650</v>
      </c>
      <c r="P144" t="s">
        <v>1651</v>
      </c>
      <c r="Q144" t="s">
        <v>1652</v>
      </c>
      <c r="R144" t="s">
        <v>1653</v>
      </c>
      <c r="S144" t="s">
        <v>1652</v>
      </c>
      <c r="T144" t="s">
        <v>1651</v>
      </c>
      <c r="U144" t="s">
        <v>1654</v>
      </c>
      <c r="V144" t="s">
        <v>1651</v>
      </c>
      <c r="W144" t="s">
        <v>1655</v>
      </c>
      <c r="X144" t="s">
        <v>1656</v>
      </c>
      <c r="Y144" t="s">
        <v>1657</v>
      </c>
      <c r="Z144">
        <v>9.0500000000000007</v>
      </c>
      <c r="AA144">
        <v>4.49</v>
      </c>
      <c r="AB144" t="s">
        <v>1656</v>
      </c>
      <c r="AC144" t="s">
        <v>1658</v>
      </c>
      <c r="AD144" t="s">
        <v>1656</v>
      </c>
      <c r="AE144" t="s">
        <v>435</v>
      </c>
      <c r="AF144" t="s">
        <v>1659</v>
      </c>
      <c r="AG144" t="s">
        <v>1660</v>
      </c>
      <c r="AH144" t="s">
        <v>1661</v>
      </c>
      <c r="AI144" t="s">
        <v>1660</v>
      </c>
      <c r="AJ144" t="s">
        <v>1659</v>
      </c>
      <c r="AK144" t="s">
        <v>1662</v>
      </c>
      <c r="AL144" t="s">
        <v>1659</v>
      </c>
      <c r="AM144" t="s">
        <v>1492</v>
      </c>
    </row>
    <row r="145" spans="1:39" x14ac:dyDescent="0.35">
      <c r="A145" t="s">
        <v>39</v>
      </c>
      <c r="B145" t="s">
        <v>1663</v>
      </c>
      <c r="C145">
        <v>353078</v>
      </c>
      <c r="D145" t="s">
        <v>72</v>
      </c>
      <c r="E145" t="s">
        <v>1664</v>
      </c>
      <c r="F145" t="s">
        <v>1558</v>
      </c>
      <c r="G145" t="s">
        <v>44</v>
      </c>
      <c r="H145" t="s">
        <v>45</v>
      </c>
      <c r="I145" t="s">
        <v>188</v>
      </c>
      <c r="J145" t="s">
        <v>47</v>
      </c>
      <c r="K145" t="s">
        <v>79</v>
      </c>
      <c r="L145" t="s">
        <v>1480</v>
      </c>
      <c r="M145" t="s">
        <v>935</v>
      </c>
      <c r="N145" t="s">
        <v>51</v>
      </c>
      <c r="O145" t="s">
        <v>1665</v>
      </c>
      <c r="P145" t="s">
        <v>1666</v>
      </c>
      <c r="Q145" t="s">
        <v>1667</v>
      </c>
      <c r="R145" t="s">
        <v>1668</v>
      </c>
      <c r="S145" t="s">
        <v>1668</v>
      </c>
      <c r="T145" t="s">
        <v>1669</v>
      </c>
      <c r="U145" t="s">
        <v>1666</v>
      </c>
      <c r="V145" t="s">
        <v>1669</v>
      </c>
      <c r="W145" t="s">
        <v>1670</v>
      </c>
      <c r="X145" t="s">
        <v>1671</v>
      </c>
      <c r="Y145" t="s">
        <v>1018</v>
      </c>
      <c r="Z145">
        <v>2.98</v>
      </c>
      <c r="AA145">
        <v>2.98</v>
      </c>
      <c r="AB145" t="s">
        <v>1672</v>
      </c>
      <c r="AC145" t="s">
        <v>1671</v>
      </c>
      <c r="AD145" t="s">
        <v>1672</v>
      </c>
      <c r="AE145" t="s">
        <v>1673</v>
      </c>
      <c r="AF145" t="s">
        <v>1674</v>
      </c>
      <c r="AG145" t="s">
        <v>1675</v>
      </c>
      <c r="AH145" t="s">
        <v>1676</v>
      </c>
      <c r="AI145" t="s">
        <v>1676</v>
      </c>
      <c r="AJ145" t="s">
        <v>1677</v>
      </c>
      <c r="AK145" t="s">
        <v>1674</v>
      </c>
      <c r="AL145" t="s">
        <v>1677</v>
      </c>
      <c r="AM145" t="s">
        <v>1492</v>
      </c>
    </row>
    <row r="146" spans="1:39" x14ac:dyDescent="0.35">
      <c r="A146" t="s">
        <v>39</v>
      </c>
      <c r="B146" t="s">
        <v>1678</v>
      </c>
      <c r="C146">
        <v>353079</v>
      </c>
      <c r="D146" t="s">
        <v>72</v>
      </c>
      <c r="E146" t="s">
        <v>1679</v>
      </c>
      <c r="F146" t="s">
        <v>1558</v>
      </c>
      <c r="G146" t="s">
        <v>44</v>
      </c>
      <c r="H146" t="s">
        <v>45</v>
      </c>
      <c r="I146" t="s">
        <v>188</v>
      </c>
      <c r="J146" t="s">
        <v>47</v>
      </c>
      <c r="K146" t="s">
        <v>79</v>
      </c>
      <c r="L146" t="s">
        <v>1480</v>
      </c>
      <c r="M146" t="s">
        <v>935</v>
      </c>
      <c r="N146" t="s">
        <v>51</v>
      </c>
      <c r="O146" t="s">
        <v>352</v>
      </c>
      <c r="P146" t="s">
        <v>1680</v>
      </c>
      <c r="Q146" t="s">
        <v>1681</v>
      </c>
      <c r="R146" t="s">
        <v>1682</v>
      </c>
      <c r="S146" t="s">
        <v>1682</v>
      </c>
      <c r="T146" t="s">
        <v>1683</v>
      </c>
      <c r="U146" t="s">
        <v>1684</v>
      </c>
      <c r="V146" t="s">
        <v>1685</v>
      </c>
      <c r="W146" t="s">
        <v>1686</v>
      </c>
      <c r="X146" t="s">
        <v>325</v>
      </c>
      <c r="Y146" t="s">
        <v>785</v>
      </c>
      <c r="Z146">
        <v>2.78</v>
      </c>
      <c r="AA146">
        <v>2.78</v>
      </c>
      <c r="AB146" t="s">
        <v>322</v>
      </c>
      <c r="AC146" t="s">
        <v>1687</v>
      </c>
      <c r="AD146" t="s">
        <v>1688</v>
      </c>
      <c r="AE146" t="s">
        <v>1689</v>
      </c>
      <c r="AF146" t="s">
        <v>1690</v>
      </c>
      <c r="AG146" t="s">
        <v>1691</v>
      </c>
      <c r="AH146" t="s">
        <v>1692</v>
      </c>
      <c r="AI146" t="s">
        <v>1692</v>
      </c>
      <c r="AJ146" t="s">
        <v>1693</v>
      </c>
      <c r="AK146" t="s">
        <v>1694</v>
      </c>
      <c r="AL146" t="s">
        <v>1098</v>
      </c>
      <c r="AM146" t="s">
        <v>1492</v>
      </c>
    </row>
    <row r="147" spans="1:39" x14ac:dyDescent="0.35">
      <c r="A147" t="s">
        <v>39</v>
      </c>
      <c r="B147" t="s">
        <v>1695</v>
      </c>
      <c r="C147">
        <v>353076</v>
      </c>
      <c r="D147" t="s">
        <v>72</v>
      </c>
      <c r="E147" t="s">
        <v>1696</v>
      </c>
      <c r="F147" t="s">
        <v>1173</v>
      </c>
      <c r="G147" t="s">
        <v>44</v>
      </c>
      <c r="H147" t="s">
        <v>45</v>
      </c>
      <c r="I147" t="s">
        <v>1568</v>
      </c>
      <c r="J147" t="s">
        <v>47</v>
      </c>
      <c r="K147" t="s">
        <v>79</v>
      </c>
      <c r="L147" t="s">
        <v>1480</v>
      </c>
      <c r="M147" t="s">
        <v>1697</v>
      </c>
      <c r="N147" t="s">
        <v>51</v>
      </c>
      <c r="O147" t="s">
        <v>1698</v>
      </c>
      <c r="P147" t="s">
        <v>52</v>
      </c>
      <c r="Q147" t="s">
        <v>52</v>
      </c>
      <c r="R147" t="s">
        <v>52</v>
      </c>
      <c r="S147" t="s">
        <v>52</v>
      </c>
      <c r="T147" t="s">
        <v>52</v>
      </c>
      <c r="U147" t="s">
        <v>52</v>
      </c>
      <c r="V147" t="s">
        <v>52</v>
      </c>
      <c r="W147" t="s">
        <v>1699</v>
      </c>
      <c r="X147" t="s">
        <v>52</v>
      </c>
      <c r="Y147" t="s">
        <v>52</v>
      </c>
      <c r="Z147">
        <v>0</v>
      </c>
      <c r="AA147">
        <v>0</v>
      </c>
      <c r="AB147" t="s">
        <v>52</v>
      </c>
      <c r="AC147" t="s">
        <v>52</v>
      </c>
      <c r="AD147" t="s">
        <v>52</v>
      </c>
      <c r="AE147" t="s">
        <v>1700</v>
      </c>
      <c r="AF147" t="s">
        <v>52</v>
      </c>
      <c r="AG147" t="s">
        <v>52</v>
      </c>
      <c r="AH147" t="s">
        <v>52</v>
      </c>
      <c r="AI147" t="s">
        <v>52</v>
      </c>
      <c r="AJ147" t="s">
        <v>52</v>
      </c>
      <c r="AK147" t="s">
        <v>52</v>
      </c>
      <c r="AL147" t="s">
        <v>52</v>
      </c>
      <c r="AM147" t="s">
        <v>1492</v>
      </c>
    </row>
    <row r="148" spans="1:39" x14ac:dyDescent="0.35">
      <c r="A148" t="s">
        <v>39</v>
      </c>
      <c r="B148" t="s">
        <v>1701</v>
      </c>
      <c r="C148">
        <v>353089</v>
      </c>
      <c r="D148" t="s">
        <v>72</v>
      </c>
      <c r="E148" t="s">
        <v>1702</v>
      </c>
      <c r="F148" t="s">
        <v>1173</v>
      </c>
      <c r="G148" t="s">
        <v>44</v>
      </c>
      <c r="H148" t="s">
        <v>45</v>
      </c>
      <c r="I148" t="s">
        <v>108</v>
      </c>
      <c r="J148" t="s">
        <v>47</v>
      </c>
      <c r="K148" t="s">
        <v>79</v>
      </c>
      <c r="L148" t="s">
        <v>1480</v>
      </c>
      <c r="M148" t="s">
        <v>882</v>
      </c>
      <c r="N148" t="s">
        <v>51</v>
      </c>
      <c r="O148" t="s">
        <v>1703</v>
      </c>
      <c r="P148" t="s">
        <v>52</v>
      </c>
      <c r="Q148" t="s">
        <v>1704</v>
      </c>
      <c r="R148" t="s">
        <v>1704</v>
      </c>
      <c r="S148" t="s">
        <v>1704</v>
      </c>
      <c r="T148" t="s">
        <v>52</v>
      </c>
      <c r="U148" t="s">
        <v>52</v>
      </c>
      <c r="V148" t="s">
        <v>52</v>
      </c>
      <c r="W148" t="s">
        <v>1705</v>
      </c>
      <c r="X148" t="s">
        <v>52</v>
      </c>
      <c r="Y148" t="s">
        <v>1706</v>
      </c>
      <c r="Z148">
        <v>7.58</v>
      </c>
      <c r="AA148">
        <v>7.58</v>
      </c>
      <c r="AB148" t="s">
        <v>52</v>
      </c>
      <c r="AC148" t="s">
        <v>52</v>
      </c>
      <c r="AD148" t="s">
        <v>52</v>
      </c>
      <c r="AE148" t="s">
        <v>1707</v>
      </c>
      <c r="AF148" t="s">
        <v>52</v>
      </c>
      <c r="AG148" t="s">
        <v>1708</v>
      </c>
      <c r="AH148" t="s">
        <v>1708</v>
      </c>
      <c r="AI148" t="s">
        <v>1708</v>
      </c>
      <c r="AJ148" t="s">
        <v>52</v>
      </c>
      <c r="AK148" t="s">
        <v>52</v>
      </c>
      <c r="AL148" t="s">
        <v>52</v>
      </c>
      <c r="AM148" t="s">
        <v>1492</v>
      </c>
    </row>
    <row r="149" spans="1:39" x14ac:dyDescent="0.35">
      <c r="A149" t="s">
        <v>39</v>
      </c>
      <c r="B149" t="s">
        <v>1709</v>
      </c>
      <c r="C149">
        <v>353151</v>
      </c>
      <c r="D149" t="s">
        <v>72</v>
      </c>
      <c r="E149" t="s">
        <v>1710</v>
      </c>
      <c r="F149" t="s">
        <v>943</v>
      </c>
      <c r="G149" t="s">
        <v>75</v>
      </c>
      <c r="H149" t="s">
        <v>45</v>
      </c>
      <c r="I149" t="s">
        <v>283</v>
      </c>
      <c r="J149" t="s">
        <v>78</v>
      </c>
      <c r="K149" t="s">
        <v>79</v>
      </c>
      <c r="L149" t="s">
        <v>117</v>
      </c>
      <c r="M149" t="s">
        <v>81</v>
      </c>
      <c r="N149" t="s">
        <v>82</v>
      </c>
      <c r="O149" t="s">
        <v>1711</v>
      </c>
      <c r="P149" t="s">
        <v>1712</v>
      </c>
      <c r="Q149" t="s">
        <v>1713</v>
      </c>
      <c r="R149" t="s">
        <v>1714</v>
      </c>
      <c r="S149" t="s">
        <v>1715</v>
      </c>
      <c r="T149" t="s">
        <v>1716</v>
      </c>
      <c r="U149" t="s">
        <v>1468</v>
      </c>
      <c r="V149" t="s">
        <v>1717</v>
      </c>
      <c r="W149" t="s">
        <v>1718</v>
      </c>
      <c r="X149" t="s">
        <v>1719</v>
      </c>
      <c r="Y149" t="s">
        <v>1600</v>
      </c>
      <c r="Z149">
        <v>0.85</v>
      </c>
      <c r="AA149">
        <v>0.96</v>
      </c>
      <c r="AB149" t="s">
        <v>201</v>
      </c>
      <c r="AC149" t="s">
        <v>1720</v>
      </c>
      <c r="AD149" t="s">
        <v>1721</v>
      </c>
      <c r="AE149" t="s">
        <v>1722</v>
      </c>
      <c r="AF149" t="s">
        <v>1723</v>
      </c>
      <c r="AG149" t="s">
        <v>1724</v>
      </c>
      <c r="AH149" t="s">
        <v>775</v>
      </c>
      <c r="AI149" t="s">
        <v>1725</v>
      </c>
      <c r="AJ149" t="s">
        <v>1726</v>
      </c>
      <c r="AK149" t="s">
        <v>1727</v>
      </c>
      <c r="AL149" t="s">
        <v>1728</v>
      </c>
      <c r="AM149" t="s">
        <v>117</v>
      </c>
    </row>
    <row r="150" spans="1:39" x14ac:dyDescent="0.35">
      <c r="A150" t="s">
        <v>39</v>
      </c>
      <c r="B150" t="s">
        <v>1729</v>
      </c>
      <c r="C150">
        <v>353994</v>
      </c>
      <c r="D150" t="s">
        <v>72</v>
      </c>
      <c r="E150" t="s">
        <v>1730</v>
      </c>
      <c r="F150" t="s">
        <v>215</v>
      </c>
      <c r="G150" t="s">
        <v>44</v>
      </c>
      <c r="H150" t="s">
        <v>45</v>
      </c>
      <c r="I150" t="s">
        <v>108</v>
      </c>
      <c r="J150" t="s">
        <v>47</v>
      </c>
      <c r="K150" t="s">
        <v>79</v>
      </c>
      <c r="L150" t="s">
        <v>555</v>
      </c>
      <c r="M150" t="s">
        <v>848</v>
      </c>
      <c r="N150" t="s">
        <v>51</v>
      </c>
      <c r="O150" t="s">
        <v>1731</v>
      </c>
      <c r="P150" t="s">
        <v>894</v>
      </c>
      <c r="Q150" t="s">
        <v>894</v>
      </c>
      <c r="R150" t="s">
        <v>894</v>
      </c>
      <c r="S150" t="s">
        <v>894</v>
      </c>
      <c r="T150" t="s">
        <v>894</v>
      </c>
      <c r="U150" t="s">
        <v>894</v>
      </c>
      <c r="V150" t="s">
        <v>894</v>
      </c>
      <c r="W150" t="s">
        <v>1732</v>
      </c>
      <c r="X150" t="s">
        <v>897</v>
      </c>
      <c r="Y150" t="s">
        <v>897</v>
      </c>
      <c r="Z150">
        <v>1.36</v>
      </c>
      <c r="AA150">
        <v>1.36</v>
      </c>
      <c r="AB150" t="s">
        <v>897</v>
      </c>
      <c r="AC150" t="s">
        <v>897</v>
      </c>
      <c r="AD150" t="s">
        <v>897</v>
      </c>
      <c r="AE150" t="s">
        <v>1733</v>
      </c>
      <c r="AF150" t="s">
        <v>1734</v>
      </c>
      <c r="AG150" t="s">
        <v>1734</v>
      </c>
      <c r="AH150" t="s">
        <v>1734</v>
      </c>
      <c r="AI150" t="s">
        <v>1734</v>
      </c>
      <c r="AJ150" t="s">
        <v>1734</v>
      </c>
      <c r="AK150" t="s">
        <v>1734</v>
      </c>
      <c r="AL150" t="s">
        <v>1734</v>
      </c>
      <c r="AM150" t="s">
        <v>555</v>
      </c>
    </row>
    <row r="151" spans="1:39" x14ac:dyDescent="0.35">
      <c r="A151" t="s">
        <v>39</v>
      </c>
      <c r="B151" t="s">
        <v>1735</v>
      </c>
      <c r="C151">
        <v>425401</v>
      </c>
      <c r="D151" t="s">
        <v>41</v>
      </c>
      <c r="E151" t="s">
        <v>1736</v>
      </c>
      <c r="F151" t="s">
        <v>74</v>
      </c>
      <c r="G151" t="s">
        <v>44</v>
      </c>
      <c r="H151" t="s">
        <v>45</v>
      </c>
      <c r="I151" t="s">
        <v>108</v>
      </c>
      <c r="J151" t="s">
        <v>78</v>
      </c>
      <c r="K151" t="s">
        <v>48</v>
      </c>
      <c r="L151" t="s">
        <v>1737</v>
      </c>
      <c r="M151" t="s">
        <v>81</v>
      </c>
      <c r="N151" t="s">
        <v>51</v>
      </c>
      <c r="O151" t="s">
        <v>52</v>
      </c>
      <c r="P151" t="s">
        <v>52</v>
      </c>
      <c r="Q151" t="s">
        <v>1738</v>
      </c>
      <c r="R151" t="s">
        <v>1738</v>
      </c>
      <c r="S151" t="s">
        <v>1738</v>
      </c>
      <c r="T151" t="s">
        <v>52</v>
      </c>
      <c r="U151" t="s">
        <v>52</v>
      </c>
      <c r="V151" t="s">
        <v>52</v>
      </c>
      <c r="W151" t="s">
        <v>52</v>
      </c>
      <c r="X151" t="s">
        <v>52</v>
      </c>
      <c r="Y151" t="s">
        <v>1739</v>
      </c>
      <c r="Z151">
        <v>1.54</v>
      </c>
      <c r="AA151">
        <v>1.54</v>
      </c>
      <c r="AB151" t="s">
        <v>52</v>
      </c>
      <c r="AC151" t="s">
        <v>52</v>
      </c>
      <c r="AD151" t="s">
        <v>52</v>
      </c>
      <c r="AE151" t="s">
        <v>52</v>
      </c>
      <c r="AF151" t="s">
        <v>52</v>
      </c>
      <c r="AG151" t="s">
        <v>1740</v>
      </c>
      <c r="AH151" t="s">
        <v>1740</v>
      </c>
      <c r="AI151" t="s">
        <v>1740</v>
      </c>
      <c r="AJ151" t="s">
        <v>52</v>
      </c>
      <c r="AK151" t="s">
        <v>52</v>
      </c>
      <c r="AL151" t="s">
        <v>52</v>
      </c>
      <c r="AM151" t="s">
        <v>49</v>
      </c>
    </row>
    <row r="152" spans="1:39" x14ac:dyDescent="0.35">
      <c r="A152" t="s">
        <v>39</v>
      </c>
      <c r="B152" t="s">
        <v>1741</v>
      </c>
      <c r="C152">
        <v>425445</v>
      </c>
      <c r="D152" t="s">
        <v>41</v>
      </c>
      <c r="E152" t="s">
        <v>1742</v>
      </c>
      <c r="F152" t="s">
        <v>1743</v>
      </c>
      <c r="G152" t="s">
        <v>44</v>
      </c>
      <c r="H152" t="s">
        <v>45</v>
      </c>
      <c r="I152" t="s">
        <v>108</v>
      </c>
      <c r="J152" t="s">
        <v>78</v>
      </c>
      <c r="K152" t="s">
        <v>48</v>
      </c>
      <c r="L152" t="s">
        <v>1744</v>
      </c>
      <c r="M152" t="s">
        <v>81</v>
      </c>
      <c r="N152" t="s">
        <v>51</v>
      </c>
      <c r="O152" t="s">
        <v>52</v>
      </c>
      <c r="P152" t="s">
        <v>52</v>
      </c>
      <c r="Q152" t="s">
        <v>1386</v>
      </c>
      <c r="R152" t="s">
        <v>1529</v>
      </c>
      <c r="S152" t="s">
        <v>1386</v>
      </c>
      <c r="T152" t="s">
        <v>52</v>
      </c>
      <c r="U152" t="s">
        <v>52</v>
      </c>
      <c r="V152" t="s">
        <v>52</v>
      </c>
      <c r="W152" t="s">
        <v>52</v>
      </c>
      <c r="X152" t="s">
        <v>52</v>
      </c>
      <c r="Y152" t="s">
        <v>831</v>
      </c>
      <c r="Z152">
        <v>7.67</v>
      </c>
      <c r="AA152">
        <v>6.71</v>
      </c>
      <c r="AB152" t="s">
        <v>52</v>
      </c>
      <c r="AC152" t="s">
        <v>52</v>
      </c>
      <c r="AD152" t="s">
        <v>52</v>
      </c>
      <c r="AE152" t="s">
        <v>52</v>
      </c>
      <c r="AF152" t="s">
        <v>52</v>
      </c>
      <c r="AG152" t="s">
        <v>1745</v>
      </c>
      <c r="AH152" t="s">
        <v>1746</v>
      </c>
      <c r="AI152" t="s">
        <v>1745</v>
      </c>
      <c r="AJ152" t="s">
        <v>52</v>
      </c>
      <c r="AK152" t="s">
        <v>52</v>
      </c>
      <c r="AL152" t="s">
        <v>52</v>
      </c>
      <c r="AM152" t="s">
        <v>49</v>
      </c>
    </row>
    <row r="153" spans="1:39" x14ac:dyDescent="0.35">
      <c r="A153" t="s">
        <v>39</v>
      </c>
      <c r="B153" t="s">
        <v>1747</v>
      </c>
      <c r="C153">
        <v>355901</v>
      </c>
      <c r="D153" t="s">
        <v>72</v>
      </c>
      <c r="E153" t="s">
        <v>1748</v>
      </c>
      <c r="F153" t="s">
        <v>692</v>
      </c>
      <c r="G153" t="s">
        <v>554</v>
      </c>
      <c r="H153" t="s">
        <v>45</v>
      </c>
      <c r="I153" t="s">
        <v>108</v>
      </c>
      <c r="J153" t="s">
        <v>78</v>
      </c>
      <c r="K153" t="s">
        <v>79</v>
      </c>
      <c r="L153" t="s">
        <v>555</v>
      </c>
      <c r="M153" t="s">
        <v>81</v>
      </c>
      <c r="N153" t="s">
        <v>557</v>
      </c>
      <c r="O153" t="s">
        <v>52</v>
      </c>
      <c r="P153" t="s">
        <v>52</v>
      </c>
      <c r="Q153" t="s">
        <v>612</v>
      </c>
      <c r="R153" t="s">
        <v>1749</v>
      </c>
      <c r="S153" t="s">
        <v>1749</v>
      </c>
      <c r="T153" t="s">
        <v>1750</v>
      </c>
      <c r="U153" t="s">
        <v>1602</v>
      </c>
      <c r="V153" t="s">
        <v>1602</v>
      </c>
      <c r="W153" t="s">
        <v>52</v>
      </c>
      <c r="X153" t="s">
        <v>52</v>
      </c>
      <c r="Y153" t="s">
        <v>872</v>
      </c>
      <c r="Z153">
        <v>0.35</v>
      </c>
      <c r="AA153">
        <v>0.35</v>
      </c>
      <c r="AB153" t="s">
        <v>872</v>
      </c>
      <c r="AC153" t="s">
        <v>1751</v>
      </c>
      <c r="AD153" t="s">
        <v>1751</v>
      </c>
      <c r="AE153" t="s">
        <v>52</v>
      </c>
      <c r="AF153" t="s">
        <v>52</v>
      </c>
      <c r="AG153" t="s">
        <v>1752</v>
      </c>
      <c r="AH153" t="s">
        <v>1103</v>
      </c>
      <c r="AI153" t="s">
        <v>1103</v>
      </c>
      <c r="AJ153" t="s">
        <v>1753</v>
      </c>
      <c r="AK153" t="s">
        <v>1754</v>
      </c>
      <c r="AL153" t="s">
        <v>1754</v>
      </c>
      <c r="AM153" t="s">
        <v>555</v>
      </c>
    </row>
    <row r="154" spans="1:39" x14ac:dyDescent="0.35">
      <c r="A154" t="s">
        <v>39</v>
      </c>
      <c r="B154" t="s">
        <v>1755</v>
      </c>
      <c r="C154">
        <v>355902</v>
      </c>
      <c r="D154" t="s">
        <v>72</v>
      </c>
      <c r="E154" t="s">
        <v>1756</v>
      </c>
      <c r="F154" t="s">
        <v>692</v>
      </c>
      <c r="G154" t="s">
        <v>554</v>
      </c>
      <c r="H154" t="s">
        <v>45</v>
      </c>
      <c r="I154" t="s">
        <v>108</v>
      </c>
      <c r="J154" t="s">
        <v>78</v>
      </c>
      <c r="K154" t="s">
        <v>79</v>
      </c>
      <c r="L154" t="s">
        <v>555</v>
      </c>
      <c r="M154" t="s">
        <v>81</v>
      </c>
      <c r="N154" t="s">
        <v>557</v>
      </c>
      <c r="O154" t="s">
        <v>52</v>
      </c>
      <c r="P154" t="s">
        <v>52</v>
      </c>
      <c r="Q154" t="s">
        <v>1757</v>
      </c>
      <c r="R154" t="s">
        <v>1757</v>
      </c>
      <c r="S154" t="s">
        <v>1757</v>
      </c>
      <c r="T154" t="s">
        <v>1758</v>
      </c>
      <c r="U154" t="s">
        <v>1759</v>
      </c>
      <c r="V154" t="s">
        <v>1759</v>
      </c>
      <c r="W154" t="s">
        <v>52</v>
      </c>
      <c r="X154" t="s">
        <v>52</v>
      </c>
      <c r="Y154" t="s">
        <v>179</v>
      </c>
      <c r="Z154">
        <v>0.46</v>
      </c>
      <c r="AA154">
        <v>0.46</v>
      </c>
      <c r="AB154" t="s">
        <v>1760</v>
      </c>
      <c r="AC154" t="s">
        <v>1761</v>
      </c>
      <c r="AD154" t="s">
        <v>1761</v>
      </c>
      <c r="AE154" t="s">
        <v>52</v>
      </c>
      <c r="AF154" t="s">
        <v>52</v>
      </c>
      <c r="AG154" t="s">
        <v>706</v>
      </c>
      <c r="AH154" t="s">
        <v>706</v>
      </c>
      <c r="AI154" t="s">
        <v>706</v>
      </c>
      <c r="AJ154" t="s">
        <v>1762</v>
      </c>
      <c r="AK154" t="s">
        <v>1103</v>
      </c>
      <c r="AL154" t="s">
        <v>1103</v>
      </c>
      <c r="AM154" t="s">
        <v>555</v>
      </c>
    </row>
    <row r="155" spans="1:39" x14ac:dyDescent="0.35">
      <c r="A155" t="s">
        <v>39</v>
      </c>
      <c r="B155" t="s">
        <v>1763</v>
      </c>
      <c r="C155">
        <v>355904</v>
      </c>
      <c r="D155" t="s">
        <v>72</v>
      </c>
      <c r="E155" t="s">
        <v>1764</v>
      </c>
      <c r="F155" t="s">
        <v>692</v>
      </c>
      <c r="G155" t="s">
        <v>554</v>
      </c>
      <c r="H155" t="s">
        <v>45</v>
      </c>
      <c r="I155" t="s">
        <v>108</v>
      </c>
      <c r="J155" t="s">
        <v>78</v>
      </c>
      <c r="K155" t="s">
        <v>79</v>
      </c>
      <c r="L155" t="s">
        <v>555</v>
      </c>
      <c r="M155" t="s">
        <v>81</v>
      </c>
      <c r="N155" t="s">
        <v>557</v>
      </c>
      <c r="O155" t="s">
        <v>52</v>
      </c>
      <c r="P155" t="s">
        <v>52</v>
      </c>
      <c r="Q155" t="s">
        <v>884</v>
      </c>
      <c r="R155" t="s">
        <v>1765</v>
      </c>
      <c r="S155" t="s">
        <v>1765</v>
      </c>
      <c r="T155" t="s">
        <v>1765</v>
      </c>
      <c r="U155" t="s">
        <v>1765</v>
      </c>
      <c r="V155" t="s">
        <v>1766</v>
      </c>
      <c r="W155" t="s">
        <v>52</v>
      </c>
      <c r="X155" t="s">
        <v>52</v>
      </c>
      <c r="Y155" t="s">
        <v>1320</v>
      </c>
      <c r="Z155">
        <v>0.32</v>
      </c>
      <c r="AA155">
        <v>0.32</v>
      </c>
      <c r="AB155" t="s">
        <v>217</v>
      </c>
      <c r="AC155" t="s">
        <v>217</v>
      </c>
      <c r="AD155" t="s">
        <v>548</v>
      </c>
      <c r="AE155" t="s">
        <v>52</v>
      </c>
      <c r="AF155" t="s">
        <v>52</v>
      </c>
      <c r="AG155" t="s">
        <v>1767</v>
      </c>
      <c r="AH155" t="s">
        <v>203</v>
      </c>
      <c r="AI155" t="s">
        <v>203</v>
      </c>
      <c r="AJ155" t="s">
        <v>203</v>
      </c>
      <c r="AK155" t="s">
        <v>203</v>
      </c>
      <c r="AL155" t="s">
        <v>1768</v>
      </c>
      <c r="AM155" t="s">
        <v>555</v>
      </c>
    </row>
    <row r="156" spans="1:39" x14ac:dyDescent="0.35">
      <c r="A156" t="s">
        <v>39</v>
      </c>
      <c r="B156" t="s">
        <v>1769</v>
      </c>
      <c r="C156">
        <v>423181</v>
      </c>
      <c r="D156" t="s">
        <v>41</v>
      </c>
      <c r="E156" t="s">
        <v>1770</v>
      </c>
      <c r="F156" t="s">
        <v>1771</v>
      </c>
      <c r="G156" t="s">
        <v>44</v>
      </c>
      <c r="H156" t="s">
        <v>45</v>
      </c>
      <c r="I156" t="s">
        <v>46</v>
      </c>
      <c r="J156" t="s">
        <v>47</v>
      </c>
      <c r="K156" t="s">
        <v>48</v>
      </c>
      <c r="L156" t="s">
        <v>109</v>
      </c>
      <c r="M156" t="s">
        <v>469</v>
      </c>
      <c r="N156" t="s">
        <v>51</v>
      </c>
      <c r="O156" t="s">
        <v>236</v>
      </c>
      <c r="P156" t="s">
        <v>52</v>
      </c>
      <c r="Q156" t="s">
        <v>52</v>
      </c>
      <c r="R156" t="s">
        <v>52</v>
      </c>
      <c r="S156" t="s">
        <v>52</v>
      </c>
      <c r="T156" t="s">
        <v>52</v>
      </c>
      <c r="U156" t="s">
        <v>52</v>
      </c>
      <c r="V156" t="s">
        <v>52</v>
      </c>
      <c r="W156" t="s">
        <v>1772</v>
      </c>
      <c r="X156" t="s">
        <v>52</v>
      </c>
      <c r="Y156" t="s">
        <v>52</v>
      </c>
      <c r="Z156">
        <v>0</v>
      </c>
      <c r="AA156">
        <v>0</v>
      </c>
      <c r="AB156" t="s">
        <v>52</v>
      </c>
      <c r="AC156" t="s">
        <v>52</v>
      </c>
      <c r="AD156" t="s">
        <v>52</v>
      </c>
      <c r="AE156" t="s">
        <v>1773</v>
      </c>
      <c r="AF156" t="s">
        <v>52</v>
      </c>
      <c r="AG156" t="s">
        <v>52</v>
      </c>
      <c r="AH156" t="s">
        <v>52</v>
      </c>
      <c r="AI156" t="s">
        <v>52</v>
      </c>
      <c r="AJ156" t="s">
        <v>52</v>
      </c>
      <c r="AK156" t="s">
        <v>52</v>
      </c>
      <c r="AL156" t="s">
        <v>52</v>
      </c>
      <c r="AM156" t="s">
        <v>49</v>
      </c>
    </row>
    <row r="157" spans="1:39" x14ac:dyDescent="0.35">
      <c r="A157" t="s">
        <v>39</v>
      </c>
      <c r="B157" t="s">
        <v>1774</v>
      </c>
      <c r="C157">
        <v>424380</v>
      </c>
      <c r="D157" t="s">
        <v>41</v>
      </c>
      <c r="E157" t="s">
        <v>1775</v>
      </c>
      <c r="F157" t="s">
        <v>1776</v>
      </c>
      <c r="G157" t="s">
        <v>44</v>
      </c>
      <c r="H157" t="s">
        <v>45</v>
      </c>
      <c r="I157" t="s">
        <v>46</v>
      </c>
      <c r="J157" t="s">
        <v>47</v>
      </c>
      <c r="K157" t="s">
        <v>48</v>
      </c>
      <c r="L157" t="s">
        <v>1777</v>
      </c>
      <c r="M157" t="s">
        <v>1778</v>
      </c>
      <c r="N157" t="s">
        <v>51</v>
      </c>
      <c r="O157" t="s">
        <v>786</v>
      </c>
      <c r="P157" t="s">
        <v>1779</v>
      </c>
      <c r="Q157" t="s">
        <v>458</v>
      </c>
      <c r="R157" t="s">
        <v>1375</v>
      </c>
      <c r="S157" t="s">
        <v>1780</v>
      </c>
      <c r="T157" t="s">
        <v>1781</v>
      </c>
      <c r="U157" t="s">
        <v>1782</v>
      </c>
      <c r="V157" t="s">
        <v>1783</v>
      </c>
      <c r="W157" t="s">
        <v>1784</v>
      </c>
      <c r="X157" t="s">
        <v>1785</v>
      </c>
      <c r="Y157" t="s">
        <v>1786</v>
      </c>
      <c r="Z157">
        <v>431.4</v>
      </c>
      <c r="AA157">
        <v>429.28</v>
      </c>
      <c r="AB157" t="s">
        <v>1787</v>
      </c>
      <c r="AC157" t="s">
        <v>1788</v>
      </c>
      <c r="AD157" t="s">
        <v>1789</v>
      </c>
      <c r="AE157" t="s">
        <v>1790</v>
      </c>
      <c r="AF157" t="s">
        <v>1791</v>
      </c>
      <c r="AG157" t="s">
        <v>1792</v>
      </c>
      <c r="AH157" t="s">
        <v>1793</v>
      </c>
      <c r="AI157" t="s">
        <v>1794</v>
      </c>
      <c r="AJ157" t="s">
        <v>1795</v>
      </c>
      <c r="AK157" t="s">
        <v>1796</v>
      </c>
      <c r="AL157" t="s">
        <v>1797</v>
      </c>
      <c r="AM157" t="s">
        <v>49</v>
      </c>
    </row>
    <row r="158" spans="1:39" x14ac:dyDescent="0.35">
      <c r="A158" t="s">
        <v>39</v>
      </c>
      <c r="B158" t="s">
        <v>1798</v>
      </c>
      <c r="C158">
        <v>337664</v>
      </c>
      <c r="D158" t="s">
        <v>41</v>
      </c>
      <c r="E158" t="s">
        <v>1799</v>
      </c>
      <c r="F158" t="s">
        <v>1800</v>
      </c>
      <c r="G158" t="s">
        <v>44</v>
      </c>
      <c r="H158" t="s">
        <v>45</v>
      </c>
      <c r="I158" t="s">
        <v>46</v>
      </c>
      <c r="J158" t="s">
        <v>47</v>
      </c>
      <c r="K158" t="s">
        <v>48</v>
      </c>
      <c r="L158" t="s">
        <v>1801</v>
      </c>
      <c r="M158" t="s">
        <v>1802</v>
      </c>
      <c r="N158" t="s">
        <v>51</v>
      </c>
      <c r="O158" t="s">
        <v>52</v>
      </c>
      <c r="P158" t="s">
        <v>52</v>
      </c>
      <c r="Q158" t="s">
        <v>52</v>
      </c>
      <c r="R158" t="s">
        <v>52</v>
      </c>
      <c r="S158" t="s">
        <v>52</v>
      </c>
      <c r="T158" t="s">
        <v>52</v>
      </c>
      <c r="U158" t="s">
        <v>52</v>
      </c>
      <c r="V158" t="s">
        <v>52</v>
      </c>
      <c r="W158" t="s">
        <v>52</v>
      </c>
      <c r="X158" t="s">
        <v>52</v>
      </c>
      <c r="Y158" t="s">
        <v>52</v>
      </c>
      <c r="Z158">
        <v>0</v>
      </c>
      <c r="AA158">
        <v>0</v>
      </c>
      <c r="AB158" t="s">
        <v>52</v>
      </c>
      <c r="AC158" t="s">
        <v>52</v>
      </c>
      <c r="AD158" t="s">
        <v>52</v>
      </c>
      <c r="AE158" t="s">
        <v>52</v>
      </c>
      <c r="AF158" t="s">
        <v>52</v>
      </c>
      <c r="AG158" t="s">
        <v>52</v>
      </c>
      <c r="AH158" t="s">
        <v>52</v>
      </c>
      <c r="AI158" t="s">
        <v>52</v>
      </c>
      <c r="AJ158" t="s">
        <v>52</v>
      </c>
      <c r="AK158" t="s">
        <v>52</v>
      </c>
      <c r="AL158" t="s">
        <v>52</v>
      </c>
      <c r="AM158" t="s">
        <v>49</v>
      </c>
    </row>
    <row r="159" spans="1:39" x14ac:dyDescent="0.35">
      <c r="A159" t="s">
        <v>39</v>
      </c>
      <c r="B159" t="s">
        <v>1803</v>
      </c>
      <c r="C159">
        <v>337665</v>
      </c>
      <c r="D159" t="s">
        <v>41</v>
      </c>
      <c r="E159" t="s">
        <v>1804</v>
      </c>
      <c r="F159" t="s">
        <v>1805</v>
      </c>
      <c r="G159" t="s">
        <v>44</v>
      </c>
      <c r="H159" t="s">
        <v>45</v>
      </c>
      <c r="I159" t="s">
        <v>46</v>
      </c>
      <c r="J159" t="s">
        <v>47</v>
      </c>
      <c r="K159" t="s">
        <v>48</v>
      </c>
      <c r="L159" t="s">
        <v>1065</v>
      </c>
      <c r="M159" t="s">
        <v>469</v>
      </c>
      <c r="N159" t="s">
        <v>51</v>
      </c>
      <c r="O159" t="s">
        <v>1806</v>
      </c>
      <c r="P159" t="s">
        <v>52</v>
      </c>
      <c r="Q159" t="s">
        <v>52</v>
      </c>
      <c r="R159" t="s">
        <v>52</v>
      </c>
      <c r="S159" t="s">
        <v>52</v>
      </c>
      <c r="T159" t="s">
        <v>52</v>
      </c>
      <c r="U159" t="s">
        <v>52</v>
      </c>
      <c r="V159" t="s">
        <v>52</v>
      </c>
      <c r="W159" t="s">
        <v>1807</v>
      </c>
      <c r="X159" t="s">
        <v>52</v>
      </c>
      <c r="Y159" t="s">
        <v>52</v>
      </c>
      <c r="Z159">
        <v>0</v>
      </c>
      <c r="AA159">
        <v>0</v>
      </c>
      <c r="AB159" t="s">
        <v>52</v>
      </c>
      <c r="AC159" t="s">
        <v>52</v>
      </c>
      <c r="AD159" t="s">
        <v>52</v>
      </c>
      <c r="AE159" t="s">
        <v>1808</v>
      </c>
      <c r="AF159" t="s">
        <v>52</v>
      </c>
      <c r="AG159" t="s">
        <v>52</v>
      </c>
      <c r="AH159" t="s">
        <v>52</v>
      </c>
      <c r="AI159" t="s">
        <v>52</v>
      </c>
      <c r="AJ159" t="s">
        <v>52</v>
      </c>
      <c r="AK159" t="s">
        <v>52</v>
      </c>
      <c r="AL159" t="s">
        <v>52</v>
      </c>
      <c r="AM159" t="s">
        <v>49</v>
      </c>
    </row>
    <row r="160" spans="1:39" x14ac:dyDescent="0.35">
      <c r="A160" t="s">
        <v>39</v>
      </c>
      <c r="B160" t="s">
        <v>1809</v>
      </c>
      <c r="C160">
        <v>337666</v>
      </c>
      <c r="D160" t="s">
        <v>41</v>
      </c>
      <c r="E160" t="s">
        <v>1810</v>
      </c>
      <c r="F160" t="s">
        <v>1805</v>
      </c>
      <c r="G160" t="s">
        <v>44</v>
      </c>
      <c r="H160" t="s">
        <v>45</v>
      </c>
      <c r="I160" t="s">
        <v>46</v>
      </c>
      <c r="J160" t="s">
        <v>47</v>
      </c>
      <c r="K160" t="s">
        <v>48</v>
      </c>
      <c r="L160" t="s">
        <v>1065</v>
      </c>
      <c r="M160" t="s">
        <v>469</v>
      </c>
      <c r="N160" t="s">
        <v>51</v>
      </c>
      <c r="O160" t="s">
        <v>1811</v>
      </c>
      <c r="P160" t="s">
        <v>52</v>
      </c>
      <c r="Q160" t="s">
        <v>52</v>
      </c>
      <c r="R160" t="s">
        <v>52</v>
      </c>
      <c r="S160" t="s">
        <v>52</v>
      </c>
      <c r="T160" t="s">
        <v>52</v>
      </c>
      <c r="U160" t="s">
        <v>52</v>
      </c>
      <c r="V160" t="s">
        <v>52</v>
      </c>
      <c r="W160" t="s">
        <v>1812</v>
      </c>
      <c r="X160" t="s">
        <v>52</v>
      </c>
      <c r="Y160" t="s">
        <v>52</v>
      </c>
      <c r="Z160">
        <v>0</v>
      </c>
      <c r="AA160">
        <v>0</v>
      </c>
      <c r="AB160" t="s">
        <v>52</v>
      </c>
      <c r="AC160" t="s">
        <v>52</v>
      </c>
      <c r="AD160" t="s">
        <v>52</v>
      </c>
      <c r="AE160" t="s">
        <v>1813</v>
      </c>
      <c r="AF160" t="s">
        <v>52</v>
      </c>
      <c r="AG160" t="s">
        <v>52</v>
      </c>
      <c r="AH160" t="s">
        <v>52</v>
      </c>
      <c r="AI160" t="s">
        <v>52</v>
      </c>
      <c r="AJ160" t="s">
        <v>52</v>
      </c>
      <c r="AK160" t="s">
        <v>52</v>
      </c>
      <c r="AL160" t="s">
        <v>52</v>
      </c>
      <c r="AM160" t="s">
        <v>49</v>
      </c>
    </row>
    <row r="161" spans="1:39" x14ac:dyDescent="0.35">
      <c r="A161" t="s">
        <v>39</v>
      </c>
      <c r="B161" t="s">
        <v>1814</v>
      </c>
      <c r="C161">
        <v>418647</v>
      </c>
      <c r="D161" t="s">
        <v>41</v>
      </c>
      <c r="E161" t="s">
        <v>1815</v>
      </c>
      <c r="F161" t="s">
        <v>1805</v>
      </c>
      <c r="G161" t="s">
        <v>44</v>
      </c>
      <c r="H161" t="s">
        <v>45</v>
      </c>
      <c r="I161" t="s">
        <v>46</v>
      </c>
      <c r="J161" t="s">
        <v>47</v>
      </c>
      <c r="K161" t="s">
        <v>48</v>
      </c>
      <c r="L161" t="s">
        <v>1816</v>
      </c>
      <c r="M161" t="s">
        <v>469</v>
      </c>
      <c r="N161" t="s">
        <v>51</v>
      </c>
      <c r="O161" t="s">
        <v>1817</v>
      </c>
      <c r="P161" t="s">
        <v>52</v>
      </c>
      <c r="Q161" t="s">
        <v>52</v>
      </c>
      <c r="R161" t="s">
        <v>52</v>
      </c>
      <c r="S161" t="s">
        <v>52</v>
      </c>
      <c r="T161" t="s">
        <v>52</v>
      </c>
      <c r="U161" t="s">
        <v>52</v>
      </c>
      <c r="V161" t="s">
        <v>52</v>
      </c>
      <c r="W161" t="s">
        <v>1818</v>
      </c>
      <c r="X161" t="s">
        <v>52</v>
      </c>
      <c r="Y161" t="s">
        <v>52</v>
      </c>
      <c r="Z161">
        <v>0</v>
      </c>
      <c r="AA161">
        <v>0</v>
      </c>
      <c r="AB161" t="s">
        <v>52</v>
      </c>
      <c r="AC161" t="s">
        <v>52</v>
      </c>
      <c r="AD161" t="s">
        <v>52</v>
      </c>
      <c r="AE161" t="s">
        <v>1819</v>
      </c>
      <c r="AF161" t="s">
        <v>52</v>
      </c>
      <c r="AG161" t="s">
        <v>52</v>
      </c>
      <c r="AH161" t="s">
        <v>52</v>
      </c>
      <c r="AI161" t="s">
        <v>52</v>
      </c>
      <c r="AJ161" t="s">
        <v>52</v>
      </c>
      <c r="AK161" t="s">
        <v>52</v>
      </c>
      <c r="AL161" t="s">
        <v>52</v>
      </c>
      <c r="AM161" t="s">
        <v>49</v>
      </c>
    </row>
    <row r="162" spans="1:39" x14ac:dyDescent="0.35">
      <c r="A162" t="s">
        <v>39</v>
      </c>
      <c r="B162" t="s">
        <v>1820</v>
      </c>
      <c r="C162">
        <v>420889</v>
      </c>
      <c r="D162" t="s">
        <v>41</v>
      </c>
      <c r="E162" t="s">
        <v>1821</v>
      </c>
      <c r="F162" t="s">
        <v>1822</v>
      </c>
      <c r="G162" t="s">
        <v>44</v>
      </c>
      <c r="H162" t="s">
        <v>45</v>
      </c>
      <c r="I162" t="s">
        <v>46</v>
      </c>
      <c r="J162" t="s">
        <v>47</v>
      </c>
      <c r="K162" t="s">
        <v>48</v>
      </c>
      <c r="L162" t="s">
        <v>1065</v>
      </c>
      <c r="M162" t="s">
        <v>1823</v>
      </c>
      <c r="N162" t="s">
        <v>51</v>
      </c>
      <c r="O162" t="s">
        <v>857</v>
      </c>
      <c r="P162" t="s">
        <v>52</v>
      </c>
      <c r="Q162" t="s">
        <v>52</v>
      </c>
      <c r="R162" t="s">
        <v>52</v>
      </c>
      <c r="S162" t="s">
        <v>52</v>
      </c>
      <c r="T162" t="s">
        <v>52</v>
      </c>
      <c r="U162" t="s">
        <v>52</v>
      </c>
      <c r="V162" t="s">
        <v>52</v>
      </c>
      <c r="W162" t="s">
        <v>1824</v>
      </c>
      <c r="X162" t="s">
        <v>52</v>
      </c>
      <c r="Y162" t="s">
        <v>52</v>
      </c>
      <c r="Z162">
        <v>0</v>
      </c>
      <c r="AA162">
        <v>0</v>
      </c>
      <c r="AB162" t="s">
        <v>52</v>
      </c>
      <c r="AC162" t="s">
        <v>52</v>
      </c>
      <c r="AD162" t="s">
        <v>52</v>
      </c>
      <c r="AE162" t="s">
        <v>1825</v>
      </c>
      <c r="AF162" t="s">
        <v>52</v>
      </c>
      <c r="AG162" t="s">
        <v>52</v>
      </c>
      <c r="AH162" t="s">
        <v>52</v>
      </c>
      <c r="AI162" t="s">
        <v>52</v>
      </c>
      <c r="AJ162" t="s">
        <v>52</v>
      </c>
      <c r="AK162" t="s">
        <v>52</v>
      </c>
      <c r="AL162" t="s">
        <v>52</v>
      </c>
      <c r="AM162" t="s">
        <v>49</v>
      </c>
    </row>
    <row r="163" spans="1:39" x14ac:dyDescent="0.35">
      <c r="A163" t="s">
        <v>39</v>
      </c>
      <c r="B163" t="s">
        <v>1826</v>
      </c>
      <c r="C163">
        <v>424624</v>
      </c>
      <c r="D163" t="s">
        <v>41</v>
      </c>
      <c r="E163" t="s">
        <v>1827</v>
      </c>
      <c r="F163" t="s">
        <v>1828</v>
      </c>
      <c r="G163" t="s">
        <v>44</v>
      </c>
      <c r="H163" t="s">
        <v>45</v>
      </c>
      <c r="I163" t="s">
        <v>46</v>
      </c>
      <c r="J163" t="s">
        <v>47</v>
      </c>
      <c r="K163" t="s">
        <v>48</v>
      </c>
      <c r="L163" t="s">
        <v>1829</v>
      </c>
      <c r="M163" t="s">
        <v>469</v>
      </c>
      <c r="N163" t="s">
        <v>51</v>
      </c>
      <c r="O163" t="s">
        <v>178</v>
      </c>
      <c r="P163" t="s">
        <v>1830</v>
      </c>
      <c r="Q163" t="s">
        <v>1831</v>
      </c>
      <c r="R163" t="s">
        <v>1832</v>
      </c>
      <c r="S163" t="s">
        <v>1832</v>
      </c>
      <c r="T163" t="s">
        <v>1833</v>
      </c>
      <c r="U163" t="s">
        <v>165</v>
      </c>
      <c r="V163" t="s">
        <v>1834</v>
      </c>
      <c r="W163" t="s">
        <v>1835</v>
      </c>
      <c r="X163" t="s">
        <v>1836</v>
      </c>
      <c r="Y163" t="s">
        <v>1837</v>
      </c>
      <c r="Z163">
        <v>58.52</v>
      </c>
      <c r="AA163">
        <v>58.52</v>
      </c>
      <c r="AB163" t="s">
        <v>1838</v>
      </c>
      <c r="AC163" t="s">
        <v>1839</v>
      </c>
      <c r="AD163" t="s">
        <v>1840</v>
      </c>
      <c r="AE163" t="s">
        <v>1841</v>
      </c>
      <c r="AF163" t="s">
        <v>1842</v>
      </c>
      <c r="AG163" t="s">
        <v>1843</v>
      </c>
      <c r="AH163" t="s">
        <v>1844</v>
      </c>
      <c r="AI163" t="s">
        <v>1844</v>
      </c>
      <c r="AJ163" t="s">
        <v>1845</v>
      </c>
      <c r="AK163" t="s">
        <v>1846</v>
      </c>
      <c r="AL163" t="s">
        <v>1847</v>
      </c>
      <c r="AM163" t="s">
        <v>49</v>
      </c>
    </row>
    <row r="164" spans="1:39" x14ac:dyDescent="0.35">
      <c r="A164" t="s">
        <v>39</v>
      </c>
      <c r="B164" t="s">
        <v>1848</v>
      </c>
      <c r="C164">
        <v>339282</v>
      </c>
      <c r="D164" t="s">
        <v>41</v>
      </c>
      <c r="E164" t="s">
        <v>1849</v>
      </c>
      <c r="F164" t="s">
        <v>1850</v>
      </c>
      <c r="G164" t="s">
        <v>44</v>
      </c>
      <c r="H164" t="s">
        <v>45</v>
      </c>
      <c r="I164" t="s">
        <v>46</v>
      </c>
      <c r="J164" t="s">
        <v>47</v>
      </c>
      <c r="K164" t="s">
        <v>48</v>
      </c>
      <c r="L164" t="s">
        <v>1851</v>
      </c>
      <c r="M164" t="s">
        <v>469</v>
      </c>
      <c r="N164" t="s">
        <v>51</v>
      </c>
      <c r="O164" t="s">
        <v>52</v>
      </c>
      <c r="P164" t="s">
        <v>1852</v>
      </c>
      <c r="Q164" t="s">
        <v>1852</v>
      </c>
      <c r="R164" t="s">
        <v>1852</v>
      </c>
      <c r="S164" t="s">
        <v>1852</v>
      </c>
      <c r="T164" t="s">
        <v>52</v>
      </c>
      <c r="U164" t="s">
        <v>52</v>
      </c>
      <c r="V164" t="s">
        <v>52</v>
      </c>
      <c r="W164" t="s">
        <v>52</v>
      </c>
      <c r="X164" t="s">
        <v>1853</v>
      </c>
      <c r="Y164" t="s">
        <v>1853</v>
      </c>
      <c r="Z164">
        <v>99.66</v>
      </c>
      <c r="AA164">
        <v>99.66</v>
      </c>
      <c r="AB164" t="s">
        <v>52</v>
      </c>
      <c r="AC164" t="s">
        <v>52</v>
      </c>
      <c r="AD164" t="s">
        <v>52</v>
      </c>
      <c r="AE164" t="s">
        <v>52</v>
      </c>
      <c r="AF164" t="s">
        <v>1854</v>
      </c>
      <c r="AG164" t="s">
        <v>1854</v>
      </c>
      <c r="AH164" t="s">
        <v>1854</v>
      </c>
      <c r="AI164" t="s">
        <v>1854</v>
      </c>
      <c r="AJ164" t="s">
        <v>52</v>
      </c>
      <c r="AK164" t="s">
        <v>52</v>
      </c>
      <c r="AL164" t="s">
        <v>52</v>
      </c>
      <c r="AM164" t="s">
        <v>49</v>
      </c>
    </row>
    <row r="165" spans="1:39" x14ac:dyDescent="0.35">
      <c r="A165" t="s">
        <v>39</v>
      </c>
      <c r="B165" t="s">
        <v>1855</v>
      </c>
      <c r="C165">
        <v>424178</v>
      </c>
      <c r="D165" t="s">
        <v>41</v>
      </c>
      <c r="E165" t="s">
        <v>1856</v>
      </c>
      <c r="F165" t="s">
        <v>1857</v>
      </c>
      <c r="G165" t="s">
        <v>44</v>
      </c>
      <c r="H165" t="s">
        <v>45</v>
      </c>
      <c r="I165" t="s">
        <v>46</v>
      </c>
      <c r="J165" t="s">
        <v>47</v>
      </c>
      <c r="K165" t="s">
        <v>48</v>
      </c>
      <c r="L165" t="s">
        <v>1858</v>
      </c>
      <c r="M165" t="s">
        <v>1823</v>
      </c>
      <c r="N165" t="s">
        <v>51</v>
      </c>
      <c r="O165" t="s">
        <v>1859</v>
      </c>
      <c r="P165" t="s">
        <v>1860</v>
      </c>
      <c r="Q165" t="s">
        <v>1860</v>
      </c>
      <c r="R165" t="s">
        <v>1861</v>
      </c>
      <c r="S165" t="s">
        <v>1861</v>
      </c>
      <c r="T165" t="s">
        <v>1265</v>
      </c>
      <c r="U165" t="s">
        <v>1862</v>
      </c>
      <c r="V165" t="s">
        <v>1862</v>
      </c>
      <c r="W165" t="s">
        <v>1863</v>
      </c>
      <c r="X165" t="s">
        <v>1671</v>
      </c>
      <c r="Y165" t="s">
        <v>1671</v>
      </c>
      <c r="Z165">
        <v>2.48</v>
      </c>
      <c r="AA165">
        <v>2.48</v>
      </c>
      <c r="AB165" t="s">
        <v>1375</v>
      </c>
      <c r="AC165" t="s">
        <v>1329</v>
      </c>
      <c r="AD165" t="s">
        <v>1329</v>
      </c>
      <c r="AE165" t="s">
        <v>1864</v>
      </c>
      <c r="AF165" t="s">
        <v>1865</v>
      </c>
      <c r="AG165" t="s">
        <v>1865</v>
      </c>
      <c r="AH165" t="s">
        <v>1866</v>
      </c>
      <c r="AI165" t="s">
        <v>1866</v>
      </c>
      <c r="AJ165" t="s">
        <v>1867</v>
      </c>
      <c r="AK165" t="s">
        <v>1868</v>
      </c>
      <c r="AL165" t="s">
        <v>1868</v>
      </c>
      <c r="AM165" t="s">
        <v>49</v>
      </c>
    </row>
    <row r="166" spans="1:39" x14ac:dyDescent="0.35">
      <c r="A166" t="s">
        <v>39</v>
      </c>
      <c r="B166" t="s">
        <v>1869</v>
      </c>
      <c r="C166">
        <v>423184</v>
      </c>
      <c r="D166" t="s">
        <v>41</v>
      </c>
      <c r="E166" t="s">
        <v>1870</v>
      </c>
      <c r="F166" t="s">
        <v>1871</v>
      </c>
      <c r="G166" t="s">
        <v>44</v>
      </c>
      <c r="H166" t="s">
        <v>45</v>
      </c>
      <c r="I166" t="s">
        <v>46</v>
      </c>
      <c r="J166" t="s">
        <v>47</v>
      </c>
      <c r="K166" t="s">
        <v>48</v>
      </c>
      <c r="L166" t="s">
        <v>109</v>
      </c>
      <c r="M166" t="s">
        <v>81</v>
      </c>
      <c r="N166" t="s">
        <v>51</v>
      </c>
      <c r="O166" t="s">
        <v>1872</v>
      </c>
      <c r="P166" t="s">
        <v>64</v>
      </c>
      <c r="Q166" t="s">
        <v>52</v>
      </c>
      <c r="R166" t="s">
        <v>52</v>
      </c>
      <c r="S166" t="s">
        <v>52</v>
      </c>
      <c r="T166" t="s">
        <v>52</v>
      </c>
      <c r="U166" t="s">
        <v>52</v>
      </c>
      <c r="V166" t="s">
        <v>52</v>
      </c>
      <c r="W166" t="s">
        <v>671</v>
      </c>
      <c r="X166" t="s">
        <v>1873</v>
      </c>
      <c r="Y166" t="s">
        <v>52</v>
      </c>
      <c r="Z166">
        <v>0</v>
      </c>
      <c r="AA166">
        <v>0</v>
      </c>
      <c r="AB166" t="s">
        <v>52</v>
      </c>
      <c r="AC166" t="s">
        <v>52</v>
      </c>
      <c r="AD166" t="s">
        <v>52</v>
      </c>
      <c r="AE166" t="s">
        <v>1874</v>
      </c>
      <c r="AF166" t="s">
        <v>1875</v>
      </c>
      <c r="AG166" t="s">
        <v>52</v>
      </c>
      <c r="AH166" t="s">
        <v>52</v>
      </c>
      <c r="AI166" t="s">
        <v>52</v>
      </c>
      <c r="AJ166" t="s">
        <v>52</v>
      </c>
      <c r="AK166" t="s">
        <v>52</v>
      </c>
      <c r="AL166" t="s">
        <v>52</v>
      </c>
      <c r="AM166" t="s">
        <v>49</v>
      </c>
    </row>
    <row r="167" spans="1:39" x14ac:dyDescent="0.35">
      <c r="A167" t="s">
        <v>39</v>
      </c>
      <c r="B167" t="s">
        <v>1876</v>
      </c>
      <c r="C167">
        <v>424263</v>
      </c>
      <c r="D167" t="s">
        <v>41</v>
      </c>
      <c r="E167" t="s">
        <v>1877</v>
      </c>
      <c r="F167" t="s">
        <v>1877</v>
      </c>
      <c r="G167" t="s">
        <v>44</v>
      </c>
      <c r="H167" t="s">
        <v>45</v>
      </c>
      <c r="I167" t="s">
        <v>46</v>
      </c>
      <c r="J167" t="s">
        <v>47</v>
      </c>
      <c r="K167" t="s">
        <v>48</v>
      </c>
      <c r="L167" t="s">
        <v>1878</v>
      </c>
      <c r="M167" t="s">
        <v>469</v>
      </c>
      <c r="N167" t="s">
        <v>51</v>
      </c>
      <c r="O167" t="s">
        <v>550</v>
      </c>
      <c r="P167" t="s">
        <v>52</v>
      </c>
      <c r="Q167" t="s">
        <v>1145</v>
      </c>
      <c r="R167" t="s">
        <v>335</v>
      </c>
      <c r="S167" t="s">
        <v>1879</v>
      </c>
      <c r="T167" t="s">
        <v>550</v>
      </c>
      <c r="U167" t="s">
        <v>1091</v>
      </c>
      <c r="V167" t="s">
        <v>52</v>
      </c>
      <c r="W167" t="s">
        <v>1880</v>
      </c>
      <c r="X167" t="s">
        <v>52</v>
      </c>
      <c r="Y167" t="s">
        <v>308</v>
      </c>
      <c r="Z167">
        <v>112</v>
      </c>
      <c r="AA167">
        <v>212.72</v>
      </c>
      <c r="AB167" t="s">
        <v>1839</v>
      </c>
      <c r="AC167" t="s">
        <v>1881</v>
      </c>
      <c r="AD167" t="s">
        <v>52</v>
      </c>
      <c r="AE167" t="s">
        <v>1882</v>
      </c>
      <c r="AF167" t="s">
        <v>52</v>
      </c>
      <c r="AG167" t="s">
        <v>1883</v>
      </c>
      <c r="AH167" t="s">
        <v>1884</v>
      </c>
      <c r="AI167" t="s">
        <v>1885</v>
      </c>
      <c r="AJ167" t="s">
        <v>1846</v>
      </c>
      <c r="AK167" t="s">
        <v>1886</v>
      </c>
      <c r="AL167" t="s">
        <v>52</v>
      </c>
      <c r="AM167" t="s">
        <v>49</v>
      </c>
    </row>
    <row r="168" spans="1:39" x14ac:dyDescent="0.35">
      <c r="A168" t="s">
        <v>39</v>
      </c>
      <c r="B168" t="s">
        <v>1887</v>
      </c>
      <c r="C168">
        <v>424369</v>
      </c>
      <c r="D168" t="s">
        <v>41</v>
      </c>
      <c r="E168" t="s">
        <v>1888</v>
      </c>
      <c r="F168" t="s">
        <v>1877</v>
      </c>
      <c r="G168" t="s">
        <v>44</v>
      </c>
      <c r="H168" t="s">
        <v>45</v>
      </c>
      <c r="I168" t="s">
        <v>46</v>
      </c>
      <c r="J168" t="s">
        <v>47</v>
      </c>
      <c r="K168" t="s">
        <v>48</v>
      </c>
      <c r="L168" t="s">
        <v>1889</v>
      </c>
      <c r="M168" t="s">
        <v>1823</v>
      </c>
      <c r="N168" t="s">
        <v>51</v>
      </c>
      <c r="O168" t="s">
        <v>52</v>
      </c>
      <c r="P168" t="s">
        <v>52</v>
      </c>
      <c r="Q168" t="s">
        <v>52</v>
      </c>
      <c r="R168" t="s">
        <v>52</v>
      </c>
      <c r="S168" t="s">
        <v>52</v>
      </c>
      <c r="T168" t="s">
        <v>52</v>
      </c>
      <c r="U168" t="s">
        <v>52</v>
      </c>
      <c r="V168" t="s">
        <v>52</v>
      </c>
      <c r="W168" t="s">
        <v>52</v>
      </c>
      <c r="X168" t="s">
        <v>52</v>
      </c>
      <c r="Y168" t="s">
        <v>52</v>
      </c>
      <c r="Z168">
        <v>0</v>
      </c>
      <c r="AA168">
        <v>0</v>
      </c>
      <c r="AB168" t="s">
        <v>52</v>
      </c>
      <c r="AC168" t="s">
        <v>52</v>
      </c>
      <c r="AD168" t="s">
        <v>52</v>
      </c>
      <c r="AE168" t="s">
        <v>1890</v>
      </c>
      <c r="AF168" t="s">
        <v>52</v>
      </c>
      <c r="AG168" t="s">
        <v>52</v>
      </c>
      <c r="AH168" t="s">
        <v>52</v>
      </c>
      <c r="AI168" t="s">
        <v>52</v>
      </c>
      <c r="AJ168" t="s">
        <v>52</v>
      </c>
      <c r="AK168" t="s">
        <v>52</v>
      </c>
      <c r="AL168" t="s">
        <v>52</v>
      </c>
      <c r="AM168" t="s">
        <v>49</v>
      </c>
    </row>
    <row r="169" spans="1:39" x14ac:dyDescent="0.35">
      <c r="A169" t="s">
        <v>39</v>
      </c>
      <c r="B169" t="s">
        <v>1891</v>
      </c>
      <c r="C169">
        <v>423512</v>
      </c>
      <c r="D169" t="s">
        <v>41</v>
      </c>
      <c r="E169" t="s">
        <v>1892</v>
      </c>
      <c r="F169" t="s">
        <v>1892</v>
      </c>
      <c r="G169" t="s">
        <v>44</v>
      </c>
      <c r="H169" t="s">
        <v>45</v>
      </c>
      <c r="I169" t="s">
        <v>46</v>
      </c>
      <c r="J169" t="s">
        <v>47</v>
      </c>
      <c r="K169" t="s">
        <v>48</v>
      </c>
      <c r="L169" t="s">
        <v>1893</v>
      </c>
      <c r="M169" t="s">
        <v>469</v>
      </c>
      <c r="N169" t="s">
        <v>51</v>
      </c>
      <c r="O169" t="s">
        <v>167</v>
      </c>
      <c r="P169" t="s">
        <v>1359</v>
      </c>
      <c r="Q169" t="s">
        <v>1894</v>
      </c>
      <c r="R169" t="s">
        <v>1284</v>
      </c>
      <c r="S169" t="s">
        <v>1895</v>
      </c>
      <c r="T169" t="s">
        <v>1894</v>
      </c>
      <c r="U169" t="s">
        <v>457</v>
      </c>
      <c r="V169" t="s">
        <v>1894</v>
      </c>
      <c r="W169" t="s">
        <v>1896</v>
      </c>
      <c r="X169" t="s">
        <v>1897</v>
      </c>
      <c r="Y169" t="s">
        <v>1703</v>
      </c>
      <c r="Z169">
        <v>30.46</v>
      </c>
      <c r="AA169">
        <v>26.95</v>
      </c>
      <c r="AB169" t="s">
        <v>1703</v>
      </c>
      <c r="AC169" t="s">
        <v>1898</v>
      </c>
      <c r="AD169" t="s">
        <v>1703</v>
      </c>
      <c r="AE169" t="s">
        <v>1899</v>
      </c>
      <c r="AF169" t="s">
        <v>1900</v>
      </c>
      <c r="AG169" t="s">
        <v>1901</v>
      </c>
      <c r="AH169" t="s">
        <v>1902</v>
      </c>
      <c r="AI169" t="s">
        <v>1903</v>
      </c>
      <c r="AJ169" t="s">
        <v>1901</v>
      </c>
      <c r="AK169" t="s">
        <v>1904</v>
      </c>
      <c r="AL169" t="s">
        <v>1901</v>
      </c>
      <c r="AM169" t="s">
        <v>49</v>
      </c>
    </row>
    <row r="170" spans="1:39" x14ac:dyDescent="0.35">
      <c r="A170" t="s">
        <v>39</v>
      </c>
      <c r="B170" t="s">
        <v>1905</v>
      </c>
      <c r="C170">
        <v>423810</v>
      </c>
      <c r="D170" t="s">
        <v>41</v>
      </c>
      <c r="E170" t="s">
        <v>1906</v>
      </c>
      <c r="F170" t="s">
        <v>1907</v>
      </c>
      <c r="G170" t="s">
        <v>44</v>
      </c>
      <c r="H170" t="s">
        <v>45</v>
      </c>
      <c r="I170" t="s">
        <v>46</v>
      </c>
      <c r="J170" t="s">
        <v>47</v>
      </c>
      <c r="K170" t="s">
        <v>48</v>
      </c>
      <c r="L170" t="s">
        <v>1908</v>
      </c>
      <c r="M170" t="s">
        <v>469</v>
      </c>
      <c r="N170" t="s">
        <v>51</v>
      </c>
      <c r="O170" t="s">
        <v>1909</v>
      </c>
      <c r="P170" t="s">
        <v>710</v>
      </c>
      <c r="Q170" t="s">
        <v>479</v>
      </c>
      <c r="R170" t="s">
        <v>1910</v>
      </c>
      <c r="S170" t="s">
        <v>1911</v>
      </c>
      <c r="T170" t="s">
        <v>479</v>
      </c>
      <c r="U170" t="s">
        <v>1912</v>
      </c>
      <c r="V170" t="s">
        <v>1913</v>
      </c>
      <c r="W170" t="s">
        <v>831</v>
      </c>
      <c r="X170" t="s">
        <v>1268</v>
      </c>
      <c r="Y170" t="s">
        <v>1914</v>
      </c>
      <c r="Z170">
        <v>2.77</v>
      </c>
      <c r="AA170">
        <v>3.34</v>
      </c>
      <c r="AB170" t="s">
        <v>1914</v>
      </c>
      <c r="AC170" t="s">
        <v>1486</v>
      </c>
      <c r="AD170" t="s">
        <v>1915</v>
      </c>
      <c r="AE170" t="s">
        <v>1916</v>
      </c>
      <c r="AF170" t="s">
        <v>1917</v>
      </c>
      <c r="AG170" t="s">
        <v>1918</v>
      </c>
      <c r="AH170" t="s">
        <v>1919</v>
      </c>
      <c r="AI170" t="s">
        <v>1920</v>
      </c>
      <c r="AJ170" t="s">
        <v>1918</v>
      </c>
      <c r="AK170" t="s">
        <v>1921</v>
      </c>
      <c r="AL170" t="s">
        <v>1922</v>
      </c>
      <c r="AM170" t="s">
        <v>49</v>
      </c>
    </row>
    <row r="171" spans="1:39" x14ac:dyDescent="0.35">
      <c r="A171" t="s">
        <v>39</v>
      </c>
      <c r="B171" t="s">
        <v>1923</v>
      </c>
      <c r="C171">
        <v>424333</v>
      </c>
      <c r="D171" t="s">
        <v>41</v>
      </c>
      <c r="E171" t="s">
        <v>1924</v>
      </c>
      <c r="F171" t="s">
        <v>1925</v>
      </c>
      <c r="G171" t="s">
        <v>44</v>
      </c>
      <c r="H171" t="s">
        <v>45</v>
      </c>
      <c r="I171" t="s">
        <v>46</v>
      </c>
      <c r="J171" t="s">
        <v>47</v>
      </c>
      <c r="K171" t="s">
        <v>48</v>
      </c>
      <c r="L171" t="s">
        <v>1926</v>
      </c>
      <c r="M171" t="s">
        <v>1823</v>
      </c>
      <c r="N171" t="s">
        <v>51</v>
      </c>
      <c r="O171" t="s">
        <v>457</v>
      </c>
      <c r="P171" t="s">
        <v>1927</v>
      </c>
      <c r="Q171" t="s">
        <v>1928</v>
      </c>
      <c r="R171" t="s">
        <v>1929</v>
      </c>
      <c r="S171" t="s">
        <v>654</v>
      </c>
      <c r="T171" t="s">
        <v>1466</v>
      </c>
      <c r="U171" t="s">
        <v>52</v>
      </c>
      <c r="V171" t="s">
        <v>52</v>
      </c>
      <c r="W171" t="s">
        <v>1930</v>
      </c>
      <c r="X171" t="s">
        <v>459</v>
      </c>
      <c r="Y171" t="s">
        <v>1599</v>
      </c>
      <c r="Z171">
        <v>1.23</v>
      </c>
      <c r="AA171">
        <v>0.56000000000000005</v>
      </c>
      <c r="AB171" t="s">
        <v>858</v>
      </c>
      <c r="AC171" t="s">
        <v>52</v>
      </c>
      <c r="AD171" t="s">
        <v>52</v>
      </c>
      <c r="AE171" t="s">
        <v>954</v>
      </c>
      <c r="AF171" t="s">
        <v>1931</v>
      </c>
      <c r="AG171" t="s">
        <v>1932</v>
      </c>
      <c r="AH171" t="s">
        <v>1933</v>
      </c>
      <c r="AI171" t="s">
        <v>1934</v>
      </c>
      <c r="AJ171" t="s">
        <v>1935</v>
      </c>
      <c r="AK171" t="s">
        <v>52</v>
      </c>
      <c r="AL171" t="s">
        <v>52</v>
      </c>
      <c r="AM171" t="s">
        <v>49</v>
      </c>
    </row>
    <row r="172" spans="1:39" x14ac:dyDescent="0.35">
      <c r="A172" t="s">
        <v>39</v>
      </c>
      <c r="B172" t="s">
        <v>1936</v>
      </c>
      <c r="C172">
        <v>423953</v>
      </c>
      <c r="D172" t="s">
        <v>41</v>
      </c>
      <c r="E172" t="s">
        <v>1937</v>
      </c>
      <c r="F172" t="s">
        <v>1925</v>
      </c>
      <c r="G172" t="s">
        <v>44</v>
      </c>
      <c r="H172" t="s">
        <v>45</v>
      </c>
      <c r="I172" t="s">
        <v>46</v>
      </c>
      <c r="J172" t="s">
        <v>47</v>
      </c>
      <c r="K172" t="s">
        <v>48</v>
      </c>
      <c r="L172" t="s">
        <v>1938</v>
      </c>
      <c r="M172" t="s">
        <v>469</v>
      </c>
      <c r="N172" t="s">
        <v>51</v>
      </c>
      <c r="O172" t="s">
        <v>1939</v>
      </c>
      <c r="P172" t="s">
        <v>1940</v>
      </c>
      <c r="Q172" t="s">
        <v>1941</v>
      </c>
      <c r="R172" t="s">
        <v>1942</v>
      </c>
      <c r="S172" t="s">
        <v>1103</v>
      </c>
      <c r="T172" t="s">
        <v>1103</v>
      </c>
      <c r="U172" t="s">
        <v>52</v>
      </c>
      <c r="V172" t="s">
        <v>52</v>
      </c>
      <c r="W172" t="s">
        <v>1943</v>
      </c>
      <c r="X172" t="s">
        <v>1944</v>
      </c>
      <c r="Y172" t="s">
        <v>776</v>
      </c>
      <c r="Z172">
        <v>18.48</v>
      </c>
      <c r="AA172">
        <v>5.28</v>
      </c>
      <c r="AB172" t="s">
        <v>1945</v>
      </c>
      <c r="AC172" t="s">
        <v>52</v>
      </c>
      <c r="AD172" t="s">
        <v>52</v>
      </c>
      <c r="AE172" t="s">
        <v>1946</v>
      </c>
      <c r="AF172" t="s">
        <v>1947</v>
      </c>
      <c r="AG172" t="s">
        <v>1948</v>
      </c>
      <c r="AH172" t="s">
        <v>1949</v>
      </c>
      <c r="AI172" t="s">
        <v>1950</v>
      </c>
      <c r="AJ172" t="s">
        <v>1950</v>
      </c>
      <c r="AK172" t="s">
        <v>52</v>
      </c>
      <c r="AL172" t="s">
        <v>52</v>
      </c>
      <c r="AM172" t="s">
        <v>49</v>
      </c>
    </row>
    <row r="173" spans="1:39" x14ac:dyDescent="0.35">
      <c r="A173" t="s">
        <v>39</v>
      </c>
      <c r="B173" t="s">
        <v>1951</v>
      </c>
      <c r="C173">
        <v>423187</v>
      </c>
      <c r="D173" t="s">
        <v>41</v>
      </c>
      <c r="E173" t="s">
        <v>1952</v>
      </c>
      <c r="F173" t="s">
        <v>1953</v>
      </c>
      <c r="G173" t="s">
        <v>44</v>
      </c>
      <c r="H173" t="s">
        <v>45</v>
      </c>
      <c r="I173" t="s">
        <v>46</v>
      </c>
      <c r="J173" t="s">
        <v>47</v>
      </c>
      <c r="K173" t="s">
        <v>48</v>
      </c>
      <c r="L173" t="s">
        <v>109</v>
      </c>
      <c r="M173" t="s">
        <v>81</v>
      </c>
      <c r="N173" t="s">
        <v>51</v>
      </c>
      <c r="O173" t="s">
        <v>1954</v>
      </c>
      <c r="P173" t="s">
        <v>52</v>
      </c>
      <c r="Q173" t="s">
        <v>1955</v>
      </c>
      <c r="R173" t="s">
        <v>1956</v>
      </c>
      <c r="S173" t="s">
        <v>1956</v>
      </c>
      <c r="T173" t="s">
        <v>52</v>
      </c>
      <c r="U173" t="s">
        <v>52</v>
      </c>
      <c r="V173" t="s">
        <v>52</v>
      </c>
      <c r="W173" t="s">
        <v>1957</v>
      </c>
      <c r="X173" t="s">
        <v>52</v>
      </c>
      <c r="Y173" t="s">
        <v>1958</v>
      </c>
      <c r="Z173">
        <v>26.63</v>
      </c>
      <c r="AA173">
        <v>26.63</v>
      </c>
      <c r="AB173" t="s">
        <v>52</v>
      </c>
      <c r="AC173" t="s">
        <v>52</v>
      </c>
      <c r="AD173" t="s">
        <v>52</v>
      </c>
      <c r="AE173" t="s">
        <v>1959</v>
      </c>
      <c r="AF173" t="s">
        <v>52</v>
      </c>
      <c r="AG173" t="s">
        <v>1960</v>
      </c>
      <c r="AH173" t="s">
        <v>1961</v>
      </c>
      <c r="AI173" t="s">
        <v>1961</v>
      </c>
      <c r="AJ173" t="s">
        <v>52</v>
      </c>
      <c r="AK173" t="s">
        <v>52</v>
      </c>
      <c r="AL173" t="s">
        <v>52</v>
      </c>
      <c r="AM173" t="s">
        <v>49</v>
      </c>
    </row>
    <row r="174" spans="1:39" x14ac:dyDescent="0.35">
      <c r="A174" t="s">
        <v>39</v>
      </c>
      <c r="B174" t="s">
        <v>1962</v>
      </c>
      <c r="C174">
        <v>423188</v>
      </c>
      <c r="D174" t="s">
        <v>41</v>
      </c>
      <c r="E174" t="s">
        <v>1963</v>
      </c>
      <c r="F174" t="s">
        <v>1953</v>
      </c>
      <c r="G174" t="s">
        <v>44</v>
      </c>
      <c r="H174" t="s">
        <v>45</v>
      </c>
      <c r="I174" t="s">
        <v>46</v>
      </c>
      <c r="J174" t="s">
        <v>47</v>
      </c>
      <c r="K174" t="s">
        <v>48</v>
      </c>
      <c r="L174" t="s">
        <v>109</v>
      </c>
      <c r="M174" t="s">
        <v>81</v>
      </c>
      <c r="N174" t="s">
        <v>51</v>
      </c>
      <c r="O174" t="s">
        <v>1964</v>
      </c>
      <c r="P174" t="s">
        <v>1965</v>
      </c>
      <c r="Q174" t="s">
        <v>52</v>
      </c>
      <c r="R174" t="s">
        <v>53</v>
      </c>
      <c r="S174" t="s">
        <v>53</v>
      </c>
      <c r="T174" t="s">
        <v>52</v>
      </c>
      <c r="U174" t="s">
        <v>52</v>
      </c>
      <c r="V174" t="s">
        <v>52</v>
      </c>
      <c r="W174" t="s">
        <v>1966</v>
      </c>
      <c r="X174" t="s">
        <v>1967</v>
      </c>
      <c r="Y174" t="s">
        <v>52</v>
      </c>
      <c r="Z174">
        <v>2.88</v>
      </c>
      <c r="AA174">
        <v>2.88</v>
      </c>
      <c r="AB174" t="s">
        <v>52</v>
      </c>
      <c r="AC174" t="s">
        <v>52</v>
      </c>
      <c r="AD174" t="s">
        <v>52</v>
      </c>
      <c r="AE174" t="s">
        <v>1968</v>
      </c>
      <c r="AF174" t="s">
        <v>1969</v>
      </c>
      <c r="AG174" t="s">
        <v>52</v>
      </c>
      <c r="AH174" t="s">
        <v>1970</v>
      </c>
      <c r="AI174" t="s">
        <v>1970</v>
      </c>
      <c r="AJ174" t="s">
        <v>52</v>
      </c>
      <c r="AK174" t="s">
        <v>52</v>
      </c>
      <c r="AL174" t="s">
        <v>52</v>
      </c>
      <c r="AM174" t="s">
        <v>49</v>
      </c>
    </row>
    <row r="175" spans="1:39" x14ac:dyDescent="0.35">
      <c r="A175" t="s">
        <v>39</v>
      </c>
      <c r="B175" t="s">
        <v>1971</v>
      </c>
      <c r="C175">
        <v>423186</v>
      </c>
      <c r="D175" t="s">
        <v>41</v>
      </c>
      <c r="E175" t="s">
        <v>1972</v>
      </c>
      <c r="F175" t="s">
        <v>1973</v>
      </c>
      <c r="G175" t="s">
        <v>44</v>
      </c>
      <c r="H175" t="s">
        <v>45</v>
      </c>
      <c r="I175" t="s">
        <v>46</v>
      </c>
      <c r="J175" t="s">
        <v>47</v>
      </c>
      <c r="K175" t="s">
        <v>48</v>
      </c>
      <c r="L175" t="s">
        <v>109</v>
      </c>
      <c r="M175" t="s">
        <v>81</v>
      </c>
      <c r="N175" t="s">
        <v>51</v>
      </c>
      <c r="O175" t="s">
        <v>52</v>
      </c>
      <c r="P175" t="s">
        <v>52</v>
      </c>
      <c r="Q175" t="s">
        <v>52</v>
      </c>
      <c r="R175" t="s">
        <v>52</v>
      </c>
      <c r="S175" t="s">
        <v>52</v>
      </c>
      <c r="T175" t="s">
        <v>52</v>
      </c>
      <c r="U175" t="s">
        <v>52</v>
      </c>
      <c r="V175" t="s">
        <v>52</v>
      </c>
      <c r="W175" t="s">
        <v>52</v>
      </c>
      <c r="X175" t="s">
        <v>52</v>
      </c>
      <c r="Y175" t="s">
        <v>52</v>
      </c>
      <c r="Z175">
        <v>0</v>
      </c>
      <c r="AA175">
        <v>0</v>
      </c>
      <c r="AB175" t="s">
        <v>52</v>
      </c>
      <c r="AC175" t="s">
        <v>52</v>
      </c>
      <c r="AD175" t="s">
        <v>52</v>
      </c>
      <c r="AE175" t="s">
        <v>52</v>
      </c>
      <c r="AF175" t="s">
        <v>52</v>
      </c>
      <c r="AG175" t="s">
        <v>52</v>
      </c>
      <c r="AH175" t="s">
        <v>52</v>
      </c>
      <c r="AI175" t="s">
        <v>52</v>
      </c>
      <c r="AJ175" t="s">
        <v>52</v>
      </c>
      <c r="AK175" t="s">
        <v>52</v>
      </c>
      <c r="AL175" t="s">
        <v>52</v>
      </c>
      <c r="AM175" t="s">
        <v>49</v>
      </c>
    </row>
    <row r="176" spans="1:39" x14ac:dyDescent="0.35">
      <c r="A176" t="s">
        <v>39</v>
      </c>
      <c r="B176" t="s">
        <v>1974</v>
      </c>
      <c r="C176">
        <v>423691</v>
      </c>
      <c r="D176" t="s">
        <v>41</v>
      </c>
      <c r="E176" t="s">
        <v>1975</v>
      </c>
      <c r="F176" t="s">
        <v>1976</v>
      </c>
      <c r="G176" t="s">
        <v>44</v>
      </c>
      <c r="H176" t="s">
        <v>45</v>
      </c>
      <c r="I176" t="s">
        <v>46</v>
      </c>
      <c r="J176" t="s">
        <v>47</v>
      </c>
      <c r="K176" t="s">
        <v>48</v>
      </c>
      <c r="L176" t="s">
        <v>1977</v>
      </c>
      <c r="M176" t="s">
        <v>469</v>
      </c>
      <c r="N176" t="s">
        <v>51</v>
      </c>
      <c r="O176" t="s">
        <v>1978</v>
      </c>
      <c r="P176" t="s">
        <v>1852</v>
      </c>
      <c r="Q176" t="s">
        <v>1852</v>
      </c>
      <c r="R176" t="s">
        <v>1852</v>
      </c>
      <c r="S176" t="s">
        <v>1852</v>
      </c>
      <c r="T176" t="s">
        <v>1852</v>
      </c>
      <c r="U176" t="s">
        <v>1852</v>
      </c>
      <c r="V176" t="s">
        <v>1852</v>
      </c>
      <c r="W176" t="s">
        <v>1979</v>
      </c>
      <c r="X176" t="s">
        <v>1980</v>
      </c>
      <c r="Y176" t="s">
        <v>1980</v>
      </c>
      <c r="Z176">
        <v>76.98</v>
      </c>
      <c r="AA176">
        <v>76.98</v>
      </c>
      <c r="AB176" t="s">
        <v>1980</v>
      </c>
      <c r="AC176" t="s">
        <v>1980</v>
      </c>
      <c r="AD176" t="s">
        <v>1980</v>
      </c>
      <c r="AE176" t="s">
        <v>1981</v>
      </c>
      <c r="AF176" t="s">
        <v>1982</v>
      </c>
      <c r="AG176" t="s">
        <v>1982</v>
      </c>
      <c r="AH176" t="s">
        <v>1982</v>
      </c>
      <c r="AI176" t="s">
        <v>1982</v>
      </c>
      <c r="AJ176" t="s">
        <v>1982</v>
      </c>
      <c r="AK176" t="s">
        <v>1982</v>
      </c>
      <c r="AL176" t="s">
        <v>1982</v>
      </c>
      <c r="AM176" t="s">
        <v>49</v>
      </c>
    </row>
    <row r="177" spans="1:39" x14ac:dyDescent="0.35">
      <c r="A177" t="s">
        <v>39</v>
      </c>
      <c r="B177" t="s">
        <v>1983</v>
      </c>
      <c r="C177">
        <v>424896</v>
      </c>
      <c r="D177" t="s">
        <v>41</v>
      </c>
      <c r="E177" t="s">
        <v>1984</v>
      </c>
      <c r="F177" t="s">
        <v>1985</v>
      </c>
      <c r="G177" t="s">
        <v>44</v>
      </c>
      <c r="H177" t="s">
        <v>45</v>
      </c>
      <c r="I177" t="s">
        <v>46</v>
      </c>
      <c r="J177" t="s">
        <v>47</v>
      </c>
      <c r="K177" t="s">
        <v>48</v>
      </c>
      <c r="L177" t="s">
        <v>1986</v>
      </c>
      <c r="M177" t="s">
        <v>469</v>
      </c>
      <c r="N177" t="s">
        <v>51</v>
      </c>
      <c r="O177" t="s">
        <v>52</v>
      </c>
      <c r="P177" t="s">
        <v>52</v>
      </c>
      <c r="Q177" t="s">
        <v>52</v>
      </c>
      <c r="R177" t="s">
        <v>52</v>
      </c>
      <c r="S177" t="s">
        <v>52</v>
      </c>
      <c r="T177" t="s">
        <v>52</v>
      </c>
      <c r="U177" t="s">
        <v>52</v>
      </c>
      <c r="V177" t="s">
        <v>52</v>
      </c>
      <c r="W177" t="s">
        <v>1219</v>
      </c>
      <c r="X177" t="s">
        <v>982</v>
      </c>
      <c r="Y177" t="s">
        <v>52</v>
      </c>
      <c r="Z177">
        <v>0</v>
      </c>
      <c r="AA177">
        <v>0</v>
      </c>
      <c r="AB177" t="s">
        <v>982</v>
      </c>
      <c r="AC177" t="s">
        <v>52</v>
      </c>
      <c r="AD177" t="s">
        <v>982</v>
      </c>
      <c r="AE177" t="s">
        <v>1987</v>
      </c>
      <c r="AF177" t="s">
        <v>166</v>
      </c>
      <c r="AG177" t="s">
        <v>52</v>
      </c>
      <c r="AH177" t="s">
        <v>52</v>
      </c>
      <c r="AI177" t="s">
        <v>52</v>
      </c>
      <c r="AJ177" t="s">
        <v>166</v>
      </c>
      <c r="AK177" t="s">
        <v>52</v>
      </c>
      <c r="AL177" t="s">
        <v>166</v>
      </c>
      <c r="AM177" t="s">
        <v>49</v>
      </c>
    </row>
    <row r="178" spans="1:39" x14ac:dyDescent="0.35">
      <c r="A178" t="s">
        <v>39</v>
      </c>
      <c r="B178" t="s">
        <v>1988</v>
      </c>
      <c r="C178">
        <v>422810</v>
      </c>
      <c r="D178" t="s">
        <v>41</v>
      </c>
      <c r="E178" t="s">
        <v>1989</v>
      </c>
      <c r="F178" t="s">
        <v>1925</v>
      </c>
      <c r="G178" t="s">
        <v>44</v>
      </c>
      <c r="H178" t="s">
        <v>45</v>
      </c>
      <c r="I178" t="s">
        <v>46</v>
      </c>
      <c r="J178" t="s">
        <v>47</v>
      </c>
      <c r="K178" t="s">
        <v>48</v>
      </c>
      <c r="L178" t="s">
        <v>1990</v>
      </c>
      <c r="M178" t="s">
        <v>1802</v>
      </c>
      <c r="N178" t="s">
        <v>51</v>
      </c>
      <c r="O178" t="s">
        <v>1991</v>
      </c>
      <c r="P178" t="s">
        <v>52</v>
      </c>
      <c r="Q178" t="s">
        <v>52</v>
      </c>
      <c r="R178" t="s">
        <v>52</v>
      </c>
      <c r="S178" t="s">
        <v>52</v>
      </c>
      <c r="T178" t="s">
        <v>52</v>
      </c>
      <c r="U178" t="s">
        <v>52</v>
      </c>
      <c r="V178" t="s">
        <v>52</v>
      </c>
      <c r="W178" t="s">
        <v>872</v>
      </c>
      <c r="X178" t="s">
        <v>52</v>
      </c>
      <c r="Y178" t="s">
        <v>52</v>
      </c>
      <c r="Z178">
        <v>0</v>
      </c>
      <c r="AA178">
        <v>0</v>
      </c>
      <c r="AB178" t="s">
        <v>52</v>
      </c>
      <c r="AC178" t="s">
        <v>52</v>
      </c>
      <c r="AD178" t="s">
        <v>52</v>
      </c>
      <c r="AE178" t="s">
        <v>1992</v>
      </c>
      <c r="AF178" t="s">
        <v>52</v>
      </c>
      <c r="AG178" t="s">
        <v>52</v>
      </c>
      <c r="AH178" t="s">
        <v>52</v>
      </c>
      <c r="AI178" t="s">
        <v>52</v>
      </c>
      <c r="AJ178" t="s">
        <v>52</v>
      </c>
      <c r="AK178" t="s">
        <v>52</v>
      </c>
      <c r="AL178" t="s">
        <v>52</v>
      </c>
      <c r="AM178" t="s">
        <v>49</v>
      </c>
    </row>
    <row r="179" spans="1:39" x14ac:dyDescent="0.35">
      <c r="A179" t="s">
        <v>39</v>
      </c>
      <c r="B179" t="s">
        <v>1993</v>
      </c>
      <c r="C179">
        <v>422640</v>
      </c>
      <c r="D179" t="s">
        <v>41</v>
      </c>
      <c r="E179" t="s">
        <v>1994</v>
      </c>
      <c r="F179" t="s">
        <v>1995</v>
      </c>
      <c r="G179" t="s">
        <v>44</v>
      </c>
      <c r="H179" t="s">
        <v>45</v>
      </c>
      <c r="I179" t="s">
        <v>46</v>
      </c>
      <c r="J179" t="s">
        <v>47</v>
      </c>
      <c r="K179" t="s">
        <v>48</v>
      </c>
      <c r="L179" t="s">
        <v>1996</v>
      </c>
      <c r="M179" t="s">
        <v>469</v>
      </c>
      <c r="N179" t="s">
        <v>51</v>
      </c>
      <c r="O179" t="s">
        <v>52</v>
      </c>
      <c r="P179" t="s">
        <v>65</v>
      </c>
      <c r="Q179" t="s">
        <v>52</v>
      </c>
      <c r="R179" t="s">
        <v>52</v>
      </c>
      <c r="S179" t="s">
        <v>52</v>
      </c>
      <c r="T179" t="s">
        <v>52</v>
      </c>
      <c r="U179" t="s">
        <v>52</v>
      </c>
      <c r="V179" t="s">
        <v>52</v>
      </c>
      <c r="W179" t="s">
        <v>52</v>
      </c>
      <c r="X179" t="s">
        <v>653</v>
      </c>
      <c r="Y179" t="s">
        <v>52</v>
      </c>
      <c r="Z179">
        <v>0</v>
      </c>
      <c r="AA179">
        <v>0</v>
      </c>
      <c r="AB179" t="s">
        <v>52</v>
      </c>
      <c r="AC179" t="s">
        <v>52</v>
      </c>
      <c r="AD179" t="s">
        <v>52</v>
      </c>
      <c r="AE179" t="s">
        <v>52</v>
      </c>
      <c r="AF179" t="s">
        <v>1997</v>
      </c>
      <c r="AG179" t="s">
        <v>52</v>
      </c>
      <c r="AH179" t="s">
        <v>52</v>
      </c>
      <c r="AI179" t="s">
        <v>52</v>
      </c>
      <c r="AJ179" t="s">
        <v>52</v>
      </c>
      <c r="AK179" t="s">
        <v>52</v>
      </c>
      <c r="AL179" t="s">
        <v>52</v>
      </c>
      <c r="AM179" t="s">
        <v>49</v>
      </c>
    </row>
    <row r="180" spans="1:39" x14ac:dyDescent="0.35">
      <c r="A180" t="s">
        <v>39</v>
      </c>
      <c r="B180" t="s">
        <v>1998</v>
      </c>
      <c r="C180">
        <v>347657</v>
      </c>
      <c r="D180" t="s">
        <v>41</v>
      </c>
      <c r="E180" t="s">
        <v>1999</v>
      </c>
      <c r="F180" t="s">
        <v>2000</v>
      </c>
      <c r="G180" t="s">
        <v>44</v>
      </c>
      <c r="H180" t="s">
        <v>45</v>
      </c>
      <c r="I180" t="s">
        <v>46</v>
      </c>
      <c r="J180" t="s">
        <v>47</v>
      </c>
      <c r="K180" t="s">
        <v>48</v>
      </c>
      <c r="L180" t="s">
        <v>2001</v>
      </c>
      <c r="M180" t="s">
        <v>469</v>
      </c>
      <c r="N180" t="s">
        <v>51</v>
      </c>
      <c r="O180" t="s">
        <v>64</v>
      </c>
      <c r="P180" t="s">
        <v>52</v>
      </c>
      <c r="Q180" t="s">
        <v>52</v>
      </c>
      <c r="R180" t="s">
        <v>52</v>
      </c>
      <c r="S180" t="s">
        <v>52</v>
      </c>
      <c r="T180" t="s">
        <v>52</v>
      </c>
      <c r="U180" t="s">
        <v>52</v>
      </c>
      <c r="V180" t="s">
        <v>52</v>
      </c>
      <c r="W180" t="s">
        <v>1860</v>
      </c>
      <c r="X180" t="s">
        <v>52</v>
      </c>
      <c r="Y180" t="s">
        <v>52</v>
      </c>
      <c r="Z180">
        <v>0</v>
      </c>
      <c r="AA180">
        <v>0</v>
      </c>
      <c r="AB180" t="s">
        <v>52</v>
      </c>
      <c r="AC180" t="s">
        <v>52</v>
      </c>
      <c r="AD180" t="s">
        <v>52</v>
      </c>
      <c r="AE180" t="s">
        <v>2002</v>
      </c>
      <c r="AF180" t="s">
        <v>52</v>
      </c>
      <c r="AG180" t="s">
        <v>52</v>
      </c>
      <c r="AH180" t="s">
        <v>52</v>
      </c>
      <c r="AI180" t="s">
        <v>52</v>
      </c>
      <c r="AJ180" t="s">
        <v>52</v>
      </c>
      <c r="AK180" t="s">
        <v>52</v>
      </c>
      <c r="AL180" t="s">
        <v>52</v>
      </c>
      <c r="AM180" t="s">
        <v>49</v>
      </c>
    </row>
    <row r="181" spans="1:39" x14ac:dyDescent="0.35">
      <c r="A181" t="s">
        <v>39</v>
      </c>
      <c r="B181" t="s">
        <v>2003</v>
      </c>
      <c r="C181">
        <v>355481</v>
      </c>
      <c r="D181" t="s">
        <v>72</v>
      </c>
      <c r="E181" t="s">
        <v>2004</v>
      </c>
      <c r="F181" t="s">
        <v>74</v>
      </c>
      <c r="G181" t="s">
        <v>75</v>
      </c>
      <c r="H181" t="s">
        <v>45</v>
      </c>
      <c r="I181" t="s">
        <v>46</v>
      </c>
      <c r="J181" t="s">
        <v>47</v>
      </c>
      <c r="K181" t="s">
        <v>79</v>
      </c>
      <c r="L181" t="s">
        <v>162</v>
      </c>
      <c r="M181" t="s">
        <v>1802</v>
      </c>
      <c r="N181" t="s">
        <v>82</v>
      </c>
      <c r="O181" t="s">
        <v>2005</v>
      </c>
      <c r="P181" t="s">
        <v>2006</v>
      </c>
      <c r="Q181" t="s">
        <v>2007</v>
      </c>
      <c r="R181" t="s">
        <v>52</v>
      </c>
      <c r="S181" t="s">
        <v>2007</v>
      </c>
      <c r="T181" t="s">
        <v>2006</v>
      </c>
      <c r="U181" t="s">
        <v>2006</v>
      </c>
      <c r="V181" t="s">
        <v>2006</v>
      </c>
      <c r="W181" t="s">
        <v>1738</v>
      </c>
      <c r="X181" t="s">
        <v>2008</v>
      </c>
      <c r="Y181" t="s">
        <v>2008</v>
      </c>
      <c r="Z181">
        <v>0</v>
      </c>
      <c r="AA181">
        <v>0.18</v>
      </c>
      <c r="AB181" t="s">
        <v>2008</v>
      </c>
      <c r="AC181" t="s">
        <v>2008</v>
      </c>
      <c r="AD181" t="s">
        <v>2008</v>
      </c>
      <c r="AE181" t="s">
        <v>2009</v>
      </c>
      <c r="AF181" t="s">
        <v>1720</v>
      </c>
      <c r="AG181" t="s">
        <v>1396</v>
      </c>
      <c r="AH181" t="s">
        <v>52</v>
      </c>
      <c r="AI181" t="s">
        <v>1396</v>
      </c>
      <c r="AJ181" t="s">
        <v>1720</v>
      </c>
      <c r="AK181" t="s">
        <v>1720</v>
      </c>
      <c r="AL181" t="s">
        <v>1720</v>
      </c>
      <c r="AM181" t="s">
        <v>175</v>
      </c>
    </row>
    <row r="182" spans="1:39" x14ac:dyDescent="0.35">
      <c r="A182" t="s">
        <v>39</v>
      </c>
      <c r="B182" t="s">
        <v>2010</v>
      </c>
      <c r="C182">
        <v>425384</v>
      </c>
      <c r="D182" t="s">
        <v>41</v>
      </c>
      <c r="E182" t="s">
        <v>2011</v>
      </c>
      <c r="F182" t="s">
        <v>74</v>
      </c>
      <c r="G182" t="s">
        <v>44</v>
      </c>
      <c r="H182" t="s">
        <v>45</v>
      </c>
      <c r="I182" t="s">
        <v>46</v>
      </c>
      <c r="J182" t="s">
        <v>47</v>
      </c>
      <c r="K182" t="s">
        <v>48</v>
      </c>
      <c r="L182" t="s">
        <v>1737</v>
      </c>
      <c r="M182" t="s">
        <v>469</v>
      </c>
      <c r="N182" t="s">
        <v>51</v>
      </c>
      <c r="O182" t="s">
        <v>52</v>
      </c>
      <c r="P182" t="s">
        <v>760</v>
      </c>
      <c r="Q182" t="s">
        <v>760</v>
      </c>
      <c r="R182" t="s">
        <v>2012</v>
      </c>
      <c r="S182" t="s">
        <v>1255</v>
      </c>
      <c r="T182" t="s">
        <v>52</v>
      </c>
      <c r="U182" t="s">
        <v>52</v>
      </c>
      <c r="V182" t="s">
        <v>52</v>
      </c>
      <c r="W182" t="s">
        <v>52</v>
      </c>
      <c r="X182" t="s">
        <v>897</v>
      </c>
      <c r="Y182" t="s">
        <v>897</v>
      </c>
      <c r="Z182">
        <v>2.64</v>
      </c>
      <c r="AA182">
        <v>1.32</v>
      </c>
      <c r="AB182" t="s">
        <v>52</v>
      </c>
      <c r="AC182" t="s">
        <v>52</v>
      </c>
      <c r="AD182" t="s">
        <v>52</v>
      </c>
      <c r="AE182" t="s">
        <v>52</v>
      </c>
      <c r="AF182" t="s">
        <v>2013</v>
      </c>
      <c r="AG182" t="s">
        <v>2013</v>
      </c>
      <c r="AH182" t="s">
        <v>2014</v>
      </c>
      <c r="AI182" t="s">
        <v>2015</v>
      </c>
      <c r="AJ182" t="s">
        <v>52</v>
      </c>
      <c r="AK182" t="s">
        <v>52</v>
      </c>
      <c r="AL182" t="s">
        <v>52</v>
      </c>
      <c r="AM182" t="s">
        <v>49</v>
      </c>
    </row>
    <row r="183" spans="1:39" x14ac:dyDescent="0.35">
      <c r="A183" t="s">
        <v>39</v>
      </c>
      <c r="B183" t="s">
        <v>2016</v>
      </c>
      <c r="C183">
        <v>330455</v>
      </c>
      <c r="D183" t="s">
        <v>72</v>
      </c>
      <c r="E183" t="s">
        <v>2017</v>
      </c>
      <c r="F183" t="s">
        <v>2018</v>
      </c>
      <c r="G183" t="s">
        <v>75</v>
      </c>
      <c r="H183" t="s">
        <v>76</v>
      </c>
      <c r="I183" t="s">
        <v>46</v>
      </c>
      <c r="J183" t="s">
        <v>47</v>
      </c>
      <c r="K183" t="s">
        <v>48</v>
      </c>
      <c r="L183" t="s">
        <v>189</v>
      </c>
      <c r="M183" t="s">
        <v>469</v>
      </c>
      <c r="N183" t="s">
        <v>82</v>
      </c>
      <c r="O183" t="s">
        <v>2019</v>
      </c>
      <c r="P183" t="s">
        <v>52</v>
      </c>
      <c r="Q183" t="s">
        <v>52</v>
      </c>
      <c r="R183" t="s">
        <v>52</v>
      </c>
      <c r="S183" t="s">
        <v>52</v>
      </c>
      <c r="T183" t="s">
        <v>52</v>
      </c>
      <c r="U183" t="s">
        <v>52</v>
      </c>
      <c r="V183" t="s">
        <v>52</v>
      </c>
      <c r="W183" t="s">
        <v>2020</v>
      </c>
      <c r="X183" t="s">
        <v>52</v>
      </c>
      <c r="Y183" t="s">
        <v>52</v>
      </c>
      <c r="Z183">
        <v>0</v>
      </c>
      <c r="AA183">
        <v>0</v>
      </c>
      <c r="AB183" t="s">
        <v>52</v>
      </c>
      <c r="AC183" t="s">
        <v>52</v>
      </c>
      <c r="AD183" t="s">
        <v>52</v>
      </c>
      <c r="AE183" t="s">
        <v>2021</v>
      </c>
      <c r="AF183" t="s">
        <v>52</v>
      </c>
      <c r="AG183" t="s">
        <v>52</v>
      </c>
      <c r="AH183" t="s">
        <v>52</v>
      </c>
      <c r="AI183" t="s">
        <v>52</v>
      </c>
      <c r="AJ183" t="s">
        <v>52</v>
      </c>
      <c r="AK183" t="s">
        <v>52</v>
      </c>
      <c r="AL183" t="s">
        <v>52</v>
      </c>
      <c r="AM183" t="s">
        <v>212</v>
      </c>
    </row>
    <row r="184" spans="1:39" x14ac:dyDescent="0.35">
      <c r="A184" t="s">
        <v>39</v>
      </c>
      <c r="B184" t="s">
        <v>2022</v>
      </c>
      <c r="C184">
        <v>424071</v>
      </c>
      <c r="D184" t="s">
        <v>41</v>
      </c>
      <c r="E184" t="s">
        <v>2023</v>
      </c>
      <c r="F184" t="s">
        <v>2023</v>
      </c>
      <c r="G184" t="s">
        <v>44</v>
      </c>
      <c r="H184" t="s">
        <v>45</v>
      </c>
      <c r="I184" t="s">
        <v>46</v>
      </c>
      <c r="J184" t="s">
        <v>47</v>
      </c>
      <c r="K184" t="s">
        <v>48</v>
      </c>
      <c r="L184" t="s">
        <v>2024</v>
      </c>
      <c r="M184" t="s">
        <v>469</v>
      </c>
      <c r="N184" t="s">
        <v>51</v>
      </c>
      <c r="O184" t="s">
        <v>52</v>
      </c>
      <c r="P184" t="s">
        <v>52</v>
      </c>
      <c r="Q184" t="s">
        <v>65</v>
      </c>
      <c r="R184" t="s">
        <v>1386</v>
      </c>
      <c r="S184" t="s">
        <v>1386</v>
      </c>
      <c r="T184" t="s">
        <v>1863</v>
      </c>
      <c r="U184" t="s">
        <v>52</v>
      </c>
      <c r="V184" t="s">
        <v>52</v>
      </c>
      <c r="W184" t="s">
        <v>52</v>
      </c>
      <c r="X184" t="s">
        <v>52</v>
      </c>
      <c r="Y184" t="s">
        <v>179</v>
      </c>
      <c r="Z184">
        <v>1.69</v>
      </c>
      <c r="AA184">
        <v>1.69</v>
      </c>
      <c r="AB184" t="s">
        <v>2025</v>
      </c>
      <c r="AC184" t="s">
        <v>52</v>
      </c>
      <c r="AD184" t="s">
        <v>52</v>
      </c>
      <c r="AE184" t="s">
        <v>52</v>
      </c>
      <c r="AF184" t="s">
        <v>52</v>
      </c>
      <c r="AG184" t="s">
        <v>1651</v>
      </c>
      <c r="AH184" t="s">
        <v>2026</v>
      </c>
      <c r="AI184" t="s">
        <v>2026</v>
      </c>
      <c r="AJ184" t="s">
        <v>2027</v>
      </c>
      <c r="AK184" t="s">
        <v>52</v>
      </c>
      <c r="AL184" t="s">
        <v>52</v>
      </c>
      <c r="AM184" t="s">
        <v>49</v>
      </c>
    </row>
    <row r="185" spans="1:39" x14ac:dyDescent="0.35">
      <c r="A185" t="s">
        <v>39</v>
      </c>
      <c r="B185" t="s">
        <v>2028</v>
      </c>
      <c r="C185">
        <v>424061</v>
      </c>
      <c r="D185" t="s">
        <v>41</v>
      </c>
      <c r="E185" t="s">
        <v>2023</v>
      </c>
      <c r="F185" t="s">
        <v>2023</v>
      </c>
      <c r="G185" t="s">
        <v>44</v>
      </c>
      <c r="H185" t="s">
        <v>45</v>
      </c>
      <c r="I185" t="s">
        <v>46</v>
      </c>
      <c r="J185" t="s">
        <v>47</v>
      </c>
      <c r="K185" t="s">
        <v>48</v>
      </c>
      <c r="L185" t="s">
        <v>2029</v>
      </c>
      <c r="M185" t="s">
        <v>469</v>
      </c>
      <c r="N185" t="s">
        <v>51</v>
      </c>
      <c r="O185" t="s">
        <v>1093</v>
      </c>
      <c r="P185" t="s">
        <v>2008</v>
      </c>
      <c r="Q185" t="s">
        <v>52</v>
      </c>
      <c r="R185" t="s">
        <v>52</v>
      </c>
      <c r="S185" t="s">
        <v>52</v>
      </c>
      <c r="T185" t="s">
        <v>52</v>
      </c>
      <c r="U185" t="s">
        <v>52</v>
      </c>
      <c r="V185" t="s">
        <v>52</v>
      </c>
      <c r="W185" t="s">
        <v>872</v>
      </c>
      <c r="X185" t="s">
        <v>2030</v>
      </c>
      <c r="Y185" t="s">
        <v>52</v>
      </c>
      <c r="Z185">
        <v>0</v>
      </c>
      <c r="AA185">
        <v>0</v>
      </c>
      <c r="AB185" t="s">
        <v>52</v>
      </c>
      <c r="AC185" t="s">
        <v>52</v>
      </c>
      <c r="AD185" t="s">
        <v>52</v>
      </c>
      <c r="AE185" t="s">
        <v>2031</v>
      </c>
      <c r="AF185" t="s">
        <v>1688</v>
      </c>
      <c r="AG185" t="s">
        <v>52</v>
      </c>
      <c r="AH185" t="s">
        <v>52</v>
      </c>
      <c r="AI185" t="s">
        <v>52</v>
      </c>
      <c r="AJ185" t="s">
        <v>52</v>
      </c>
      <c r="AK185" t="s">
        <v>52</v>
      </c>
      <c r="AL185" t="s">
        <v>52</v>
      </c>
      <c r="AM185" t="s">
        <v>49</v>
      </c>
    </row>
    <row r="186" spans="1:39" x14ac:dyDescent="0.35">
      <c r="A186" t="s">
        <v>39</v>
      </c>
      <c r="B186" t="s">
        <v>2032</v>
      </c>
      <c r="C186">
        <v>425003</v>
      </c>
      <c r="D186" t="s">
        <v>41</v>
      </c>
      <c r="E186" t="s">
        <v>2033</v>
      </c>
      <c r="F186" t="s">
        <v>1776</v>
      </c>
      <c r="G186" t="s">
        <v>44</v>
      </c>
      <c r="H186" t="s">
        <v>45</v>
      </c>
      <c r="I186" t="s">
        <v>46</v>
      </c>
      <c r="J186" t="s">
        <v>47</v>
      </c>
      <c r="K186" t="s">
        <v>48</v>
      </c>
      <c r="L186" t="s">
        <v>1777</v>
      </c>
      <c r="M186" t="s">
        <v>1802</v>
      </c>
      <c r="N186" t="s">
        <v>51</v>
      </c>
      <c r="O186" t="s">
        <v>52</v>
      </c>
      <c r="P186" t="s">
        <v>52</v>
      </c>
      <c r="Q186" t="s">
        <v>1452</v>
      </c>
      <c r="R186" t="s">
        <v>1862</v>
      </c>
      <c r="S186" t="s">
        <v>1862</v>
      </c>
      <c r="T186" t="s">
        <v>938</v>
      </c>
      <c r="U186" t="s">
        <v>1452</v>
      </c>
      <c r="V186" t="s">
        <v>858</v>
      </c>
      <c r="W186" t="s">
        <v>52</v>
      </c>
      <c r="X186" t="s">
        <v>52</v>
      </c>
      <c r="Y186" t="s">
        <v>2034</v>
      </c>
      <c r="Z186">
        <v>28.25</v>
      </c>
      <c r="AA186">
        <v>28.25</v>
      </c>
      <c r="AB186" t="s">
        <v>2035</v>
      </c>
      <c r="AC186" t="s">
        <v>2034</v>
      </c>
      <c r="AD186" t="s">
        <v>2036</v>
      </c>
      <c r="AE186" t="s">
        <v>52</v>
      </c>
      <c r="AF186" t="s">
        <v>52</v>
      </c>
      <c r="AG186" t="s">
        <v>2037</v>
      </c>
      <c r="AH186" t="s">
        <v>2038</v>
      </c>
      <c r="AI186" t="s">
        <v>2038</v>
      </c>
      <c r="AJ186" t="s">
        <v>2039</v>
      </c>
      <c r="AK186" t="s">
        <v>2037</v>
      </c>
      <c r="AL186" t="s">
        <v>2040</v>
      </c>
      <c r="AM186" t="s">
        <v>49</v>
      </c>
    </row>
    <row r="187" spans="1:39" x14ac:dyDescent="0.35">
      <c r="A187" t="s">
        <v>39</v>
      </c>
      <c r="B187" t="s">
        <v>2041</v>
      </c>
      <c r="C187">
        <v>425046</v>
      </c>
      <c r="D187" t="s">
        <v>41</v>
      </c>
      <c r="E187" t="s">
        <v>2042</v>
      </c>
      <c r="F187" t="s">
        <v>2042</v>
      </c>
      <c r="G187" t="s">
        <v>44</v>
      </c>
      <c r="H187" t="s">
        <v>45</v>
      </c>
      <c r="I187" t="s">
        <v>46</v>
      </c>
      <c r="J187" t="s">
        <v>47</v>
      </c>
      <c r="K187" t="s">
        <v>48</v>
      </c>
      <c r="L187" t="s">
        <v>2043</v>
      </c>
      <c r="M187" t="s">
        <v>1802</v>
      </c>
      <c r="N187" t="s">
        <v>51</v>
      </c>
      <c r="O187" t="s">
        <v>1761</v>
      </c>
      <c r="P187" t="s">
        <v>52</v>
      </c>
      <c r="Q187" t="s">
        <v>52</v>
      </c>
      <c r="R187" t="s">
        <v>52</v>
      </c>
      <c r="S187" t="s">
        <v>52</v>
      </c>
      <c r="T187" t="s">
        <v>52</v>
      </c>
      <c r="U187" t="s">
        <v>52</v>
      </c>
      <c r="V187" t="s">
        <v>52</v>
      </c>
      <c r="W187" t="s">
        <v>2044</v>
      </c>
      <c r="X187" t="s">
        <v>52</v>
      </c>
      <c r="Y187" t="s">
        <v>52</v>
      </c>
      <c r="Z187">
        <v>0</v>
      </c>
      <c r="AA187">
        <v>0</v>
      </c>
      <c r="AB187" t="s">
        <v>52</v>
      </c>
      <c r="AC187" t="s">
        <v>52</v>
      </c>
      <c r="AD187" t="s">
        <v>52</v>
      </c>
      <c r="AE187" t="s">
        <v>2045</v>
      </c>
      <c r="AF187" t="s">
        <v>52</v>
      </c>
      <c r="AG187" t="s">
        <v>52</v>
      </c>
      <c r="AH187" t="s">
        <v>52</v>
      </c>
      <c r="AI187" t="s">
        <v>52</v>
      </c>
      <c r="AJ187" t="s">
        <v>52</v>
      </c>
      <c r="AK187" t="s">
        <v>52</v>
      </c>
      <c r="AL187" t="s">
        <v>52</v>
      </c>
      <c r="AM187" t="s">
        <v>49</v>
      </c>
    </row>
    <row r="188" spans="1:39" x14ac:dyDescent="0.35">
      <c r="A188" t="s">
        <v>39</v>
      </c>
      <c r="B188" t="s">
        <v>2046</v>
      </c>
      <c r="C188">
        <v>355905</v>
      </c>
      <c r="D188" t="s">
        <v>72</v>
      </c>
      <c r="E188" t="s">
        <v>2047</v>
      </c>
      <c r="F188" t="s">
        <v>692</v>
      </c>
      <c r="G188" t="s">
        <v>554</v>
      </c>
      <c r="H188" t="s">
        <v>45</v>
      </c>
      <c r="I188" t="s">
        <v>2048</v>
      </c>
      <c r="J188" t="s">
        <v>78</v>
      </c>
      <c r="K188" t="s">
        <v>79</v>
      </c>
      <c r="L188" t="s">
        <v>555</v>
      </c>
      <c r="M188" t="s">
        <v>81</v>
      </c>
      <c r="N188" t="s">
        <v>557</v>
      </c>
      <c r="O188" t="s">
        <v>52</v>
      </c>
      <c r="P188" t="s">
        <v>52</v>
      </c>
      <c r="Q188" t="s">
        <v>2049</v>
      </c>
      <c r="R188" t="s">
        <v>2049</v>
      </c>
      <c r="S188" t="s">
        <v>2049</v>
      </c>
      <c r="T188" t="s">
        <v>2050</v>
      </c>
      <c r="U188" t="s">
        <v>2050</v>
      </c>
      <c r="V188" t="s">
        <v>2050</v>
      </c>
      <c r="W188" t="s">
        <v>52</v>
      </c>
      <c r="X188" t="s">
        <v>52</v>
      </c>
      <c r="Y188" t="s">
        <v>2051</v>
      </c>
      <c r="Z188">
        <v>0.24</v>
      </c>
      <c r="AA188">
        <v>0.24</v>
      </c>
      <c r="AB188" t="s">
        <v>1760</v>
      </c>
      <c r="AC188" t="s">
        <v>1760</v>
      </c>
      <c r="AD188" t="s">
        <v>1760</v>
      </c>
      <c r="AE188" t="s">
        <v>52</v>
      </c>
      <c r="AF188" t="s">
        <v>52</v>
      </c>
      <c r="AG188" t="s">
        <v>2052</v>
      </c>
      <c r="AH188" t="s">
        <v>2052</v>
      </c>
      <c r="AI188" t="s">
        <v>2052</v>
      </c>
      <c r="AJ188" t="s">
        <v>591</v>
      </c>
      <c r="AK188" t="s">
        <v>591</v>
      </c>
      <c r="AL188" t="s">
        <v>591</v>
      </c>
      <c r="AM188" t="s">
        <v>555</v>
      </c>
    </row>
    <row r="189" spans="1:39" x14ac:dyDescent="0.35">
      <c r="A189" t="s">
        <v>39</v>
      </c>
      <c r="B189" t="s">
        <v>2053</v>
      </c>
      <c r="C189">
        <v>355906</v>
      </c>
      <c r="D189" t="s">
        <v>72</v>
      </c>
      <c r="E189" t="s">
        <v>2054</v>
      </c>
      <c r="F189" t="s">
        <v>692</v>
      </c>
      <c r="G189" t="s">
        <v>554</v>
      </c>
      <c r="H189" t="s">
        <v>45</v>
      </c>
      <c r="I189" t="s">
        <v>2048</v>
      </c>
      <c r="J189" t="s">
        <v>78</v>
      </c>
      <c r="K189" t="s">
        <v>79</v>
      </c>
      <c r="L189" t="s">
        <v>555</v>
      </c>
      <c r="M189" t="s">
        <v>81</v>
      </c>
      <c r="N189" t="s">
        <v>557</v>
      </c>
      <c r="O189" t="s">
        <v>52</v>
      </c>
      <c r="P189" t="s">
        <v>52</v>
      </c>
      <c r="Q189" t="s">
        <v>2055</v>
      </c>
      <c r="R189" t="s">
        <v>2056</v>
      </c>
      <c r="S189" t="s">
        <v>2056</v>
      </c>
      <c r="T189" t="s">
        <v>2057</v>
      </c>
      <c r="U189" t="s">
        <v>1266</v>
      </c>
      <c r="V189" t="s">
        <v>1528</v>
      </c>
      <c r="W189" t="s">
        <v>52</v>
      </c>
      <c r="X189" t="s">
        <v>52</v>
      </c>
      <c r="Y189" t="s">
        <v>1670</v>
      </c>
      <c r="Z189">
        <v>1.7</v>
      </c>
      <c r="AA189">
        <v>1.7</v>
      </c>
      <c r="AB189" t="s">
        <v>2058</v>
      </c>
      <c r="AC189" t="s">
        <v>856</v>
      </c>
      <c r="AD189" t="s">
        <v>856</v>
      </c>
      <c r="AE189" t="s">
        <v>52</v>
      </c>
      <c r="AF189" t="s">
        <v>52</v>
      </c>
      <c r="AG189" t="s">
        <v>2059</v>
      </c>
      <c r="AH189" t="s">
        <v>755</v>
      </c>
      <c r="AI189" t="s">
        <v>755</v>
      </c>
      <c r="AJ189" t="s">
        <v>2060</v>
      </c>
      <c r="AK189" t="s">
        <v>2061</v>
      </c>
      <c r="AL189" t="s">
        <v>2062</v>
      </c>
      <c r="AM189" t="s">
        <v>555</v>
      </c>
    </row>
    <row r="190" spans="1:39" x14ac:dyDescent="0.35">
      <c r="A190" t="s">
        <v>39</v>
      </c>
      <c r="B190" t="s">
        <v>2063</v>
      </c>
      <c r="C190">
        <v>354555</v>
      </c>
      <c r="D190" t="s">
        <v>72</v>
      </c>
      <c r="E190" t="s">
        <v>2064</v>
      </c>
      <c r="F190" t="s">
        <v>2065</v>
      </c>
      <c r="G190" t="s">
        <v>75</v>
      </c>
      <c r="H190" t="s">
        <v>45</v>
      </c>
      <c r="I190" t="s">
        <v>2048</v>
      </c>
      <c r="J190" t="s">
        <v>78</v>
      </c>
      <c r="K190" t="s">
        <v>79</v>
      </c>
      <c r="L190" t="s">
        <v>2066</v>
      </c>
      <c r="M190" t="s">
        <v>81</v>
      </c>
      <c r="N190" t="s">
        <v>82</v>
      </c>
      <c r="O190" t="s">
        <v>2067</v>
      </c>
      <c r="P190" t="s">
        <v>178</v>
      </c>
      <c r="Q190" t="s">
        <v>2068</v>
      </c>
      <c r="R190" t="s">
        <v>2068</v>
      </c>
      <c r="S190" t="s">
        <v>2068</v>
      </c>
      <c r="T190" t="s">
        <v>178</v>
      </c>
      <c r="U190" t="s">
        <v>165</v>
      </c>
      <c r="V190" t="s">
        <v>335</v>
      </c>
      <c r="W190" t="s">
        <v>983</v>
      </c>
      <c r="X190" t="s">
        <v>2069</v>
      </c>
      <c r="Y190" t="s">
        <v>2070</v>
      </c>
      <c r="Z190">
        <v>2.5499999999999998</v>
      </c>
      <c r="AA190">
        <v>2.5499999999999998</v>
      </c>
      <c r="AB190" t="s">
        <v>2069</v>
      </c>
      <c r="AC190" t="s">
        <v>2071</v>
      </c>
      <c r="AD190" t="s">
        <v>2072</v>
      </c>
      <c r="AE190" t="s">
        <v>2073</v>
      </c>
      <c r="AF190" t="s">
        <v>2074</v>
      </c>
      <c r="AG190" t="s">
        <v>2075</v>
      </c>
      <c r="AH190" t="s">
        <v>2075</v>
      </c>
      <c r="AI190" t="s">
        <v>2075</v>
      </c>
      <c r="AJ190" t="s">
        <v>2074</v>
      </c>
      <c r="AK190" t="s">
        <v>2076</v>
      </c>
      <c r="AL190" t="s">
        <v>2077</v>
      </c>
      <c r="AM190" t="s">
        <v>2078</v>
      </c>
    </row>
    <row r="191" spans="1:39" x14ac:dyDescent="0.35">
      <c r="A191" t="s">
        <v>39</v>
      </c>
      <c r="B191" t="s">
        <v>2079</v>
      </c>
      <c r="C191">
        <v>354556</v>
      </c>
      <c r="D191" t="s">
        <v>72</v>
      </c>
      <c r="E191" t="s">
        <v>2080</v>
      </c>
      <c r="F191" t="s">
        <v>2065</v>
      </c>
      <c r="G191" t="s">
        <v>75</v>
      </c>
      <c r="H191" t="s">
        <v>45</v>
      </c>
      <c r="I191" t="s">
        <v>2048</v>
      </c>
      <c r="J191" t="s">
        <v>78</v>
      </c>
      <c r="K191" t="s">
        <v>79</v>
      </c>
      <c r="L191" t="s">
        <v>2066</v>
      </c>
      <c r="M191" t="s">
        <v>81</v>
      </c>
      <c r="N191" t="s">
        <v>82</v>
      </c>
      <c r="O191" t="s">
        <v>2081</v>
      </c>
      <c r="P191" t="s">
        <v>2082</v>
      </c>
      <c r="Q191" t="s">
        <v>2083</v>
      </c>
      <c r="R191" t="s">
        <v>2084</v>
      </c>
      <c r="S191" t="s">
        <v>2084</v>
      </c>
      <c r="T191" t="s">
        <v>2082</v>
      </c>
      <c r="U191" t="s">
        <v>335</v>
      </c>
      <c r="V191" t="s">
        <v>52</v>
      </c>
      <c r="W191" t="s">
        <v>2085</v>
      </c>
      <c r="X191" t="s">
        <v>2086</v>
      </c>
      <c r="Y191" t="s">
        <v>2087</v>
      </c>
      <c r="Z191">
        <v>3.83</v>
      </c>
      <c r="AA191">
        <v>3.83</v>
      </c>
      <c r="AB191" t="s">
        <v>2086</v>
      </c>
      <c r="AC191" t="s">
        <v>2072</v>
      </c>
      <c r="AD191" t="s">
        <v>52</v>
      </c>
      <c r="AE191" t="s">
        <v>2088</v>
      </c>
      <c r="AF191" t="s">
        <v>2089</v>
      </c>
      <c r="AG191" t="s">
        <v>2090</v>
      </c>
      <c r="AH191" t="s">
        <v>2091</v>
      </c>
      <c r="AI191" t="s">
        <v>2091</v>
      </c>
      <c r="AJ191" t="s">
        <v>2089</v>
      </c>
      <c r="AK191" t="s">
        <v>2077</v>
      </c>
      <c r="AL191" t="s">
        <v>52</v>
      </c>
      <c r="AM191" t="s">
        <v>2078</v>
      </c>
    </row>
    <row r="192" spans="1:39" x14ac:dyDescent="0.35">
      <c r="A192" t="s">
        <v>39</v>
      </c>
      <c r="B192" t="s">
        <v>2092</v>
      </c>
      <c r="C192">
        <v>354557</v>
      </c>
      <c r="D192" t="s">
        <v>72</v>
      </c>
      <c r="E192" t="s">
        <v>2093</v>
      </c>
      <c r="F192" t="s">
        <v>2094</v>
      </c>
      <c r="G192" t="s">
        <v>75</v>
      </c>
      <c r="H192" t="s">
        <v>45</v>
      </c>
      <c r="I192" t="s">
        <v>2048</v>
      </c>
      <c r="J192" t="s">
        <v>78</v>
      </c>
      <c r="K192" t="s">
        <v>79</v>
      </c>
      <c r="L192" t="s">
        <v>2066</v>
      </c>
      <c r="M192" t="s">
        <v>81</v>
      </c>
      <c r="N192" t="s">
        <v>82</v>
      </c>
      <c r="O192" t="s">
        <v>2095</v>
      </c>
      <c r="P192" t="s">
        <v>223</v>
      </c>
      <c r="Q192" t="s">
        <v>2096</v>
      </c>
      <c r="R192" t="s">
        <v>2097</v>
      </c>
      <c r="S192" t="s">
        <v>2097</v>
      </c>
      <c r="T192" t="s">
        <v>1340</v>
      </c>
      <c r="U192" t="s">
        <v>2098</v>
      </c>
      <c r="V192" t="s">
        <v>290</v>
      </c>
      <c r="W192" t="s">
        <v>2099</v>
      </c>
      <c r="X192" t="s">
        <v>2100</v>
      </c>
      <c r="Y192" t="s">
        <v>2101</v>
      </c>
      <c r="Z192">
        <v>30.1</v>
      </c>
      <c r="AA192">
        <v>30.1</v>
      </c>
      <c r="AB192" t="s">
        <v>2102</v>
      </c>
      <c r="AC192" t="s">
        <v>2103</v>
      </c>
      <c r="AD192" t="s">
        <v>2104</v>
      </c>
      <c r="AE192" t="s">
        <v>2105</v>
      </c>
      <c r="AF192" t="s">
        <v>2106</v>
      </c>
      <c r="AG192" t="s">
        <v>2107</v>
      </c>
      <c r="AH192" t="s">
        <v>2108</v>
      </c>
      <c r="AI192" t="s">
        <v>2108</v>
      </c>
      <c r="AJ192" t="s">
        <v>2109</v>
      </c>
      <c r="AK192" t="s">
        <v>2110</v>
      </c>
      <c r="AL192" t="s">
        <v>2111</v>
      </c>
      <c r="AM192" t="s">
        <v>2078</v>
      </c>
    </row>
    <row r="193" spans="1:39" x14ac:dyDescent="0.35">
      <c r="A193" t="s">
        <v>39</v>
      </c>
      <c r="B193" t="s">
        <v>2112</v>
      </c>
      <c r="C193">
        <v>354558</v>
      </c>
      <c r="D193" t="s">
        <v>72</v>
      </c>
      <c r="E193" t="s">
        <v>2113</v>
      </c>
      <c r="F193" t="s">
        <v>2094</v>
      </c>
      <c r="G193" t="s">
        <v>75</v>
      </c>
      <c r="H193" t="s">
        <v>45</v>
      </c>
      <c r="I193" t="s">
        <v>2048</v>
      </c>
      <c r="J193" t="s">
        <v>78</v>
      </c>
      <c r="K193" t="s">
        <v>79</v>
      </c>
      <c r="L193" t="s">
        <v>2066</v>
      </c>
      <c r="M193" t="s">
        <v>81</v>
      </c>
      <c r="N193" t="s">
        <v>82</v>
      </c>
      <c r="O193" t="s">
        <v>2114</v>
      </c>
      <c r="P193" t="s">
        <v>1340</v>
      </c>
      <c r="Q193" t="s">
        <v>318</v>
      </c>
      <c r="R193" t="s">
        <v>318</v>
      </c>
      <c r="S193" t="s">
        <v>318</v>
      </c>
      <c r="T193" t="s">
        <v>344</v>
      </c>
      <c r="U193" t="s">
        <v>454</v>
      </c>
      <c r="V193" t="s">
        <v>344</v>
      </c>
      <c r="W193" t="s">
        <v>2115</v>
      </c>
      <c r="X193" t="s">
        <v>2102</v>
      </c>
      <c r="Y193" t="s">
        <v>753</v>
      </c>
      <c r="Z193">
        <v>16.690000000000001</v>
      </c>
      <c r="AA193">
        <v>16.690000000000001</v>
      </c>
      <c r="AB193" t="s">
        <v>2116</v>
      </c>
      <c r="AC193" t="s">
        <v>2117</v>
      </c>
      <c r="AD193" t="s">
        <v>2116</v>
      </c>
      <c r="AE193" t="s">
        <v>2118</v>
      </c>
      <c r="AF193" t="s">
        <v>2109</v>
      </c>
      <c r="AG193" t="s">
        <v>2119</v>
      </c>
      <c r="AH193" t="s">
        <v>2119</v>
      </c>
      <c r="AI193" t="s">
        <v>2119</v>
      </c>
      <c r="AJ193" t="s">
        <v>2120</v>
      </c>
      <c r="AK193" t="s">
        <v>2121</v>
      </c>
      <c r="AL193" t="s">
        <v>2120</v>
      </c>
      <c r="AM193" t="s">
        <v>2078</v>
      </c>
    </row>
    <row r="194" spans="1:39" x14ac:dyDescent="0.35">
      <c r="A194" t="s">
        <v>39</v>
      </c>
      <c r="B194" t="s">
        <v>2122</v>
      </c>
      <c r="C194">
        <v>354559</v>
      </c>
      <c r="D194" t="s">
        <v>72</v>
      </c>
      <c r="E194" t="s">
        <v>2123</v>
      </c>
      <c r="F194" t="s">
        <v>2094</v>
      </c>
      <c r="G194" t="s">
        <v>75</v>
      </c>
      <c r="H194" t="s">
        <v>45</v>
      </c>
      <c r="I194" t="s">
        <v>2048</v>
      </c>
      <c r="J194" t="s">
        <v>78</v>
      </c>
      <c r="K194" t="s">
        <v>79</v>
      </c>
      <c r="L194" t="s">
        <v>2066</v>
      </c>
      <c r="M194" t="s">
        <v>81</v>
      </c>
      <c r="N194" t="s">
        <v>82</v>
      </c>
      <c r="O194" t="s">
        <v>1519</v>
      </c>
      <c r="P194" t="s">
        <v>1852</v>
      </c>
      <c r="Q194" t="s">
        <v>52</v>
      </c>
      <c r="R194" t="s">
        <v>937</v>
      </c>
      <c r="S194" t="s">
        <v>937</v>
      </c>
      <c r="T194" t="s">
        <v>1359</v>
      </c>
      <c r="U194" t="s">
        <v>178</v>
      </c>
      <c r="V194" t="s">
        <v>178</v>
      </c>
      <c r="W194" t="s">
        <v>2124</v>
      </c>
      <c r="X194" t="s">
        <v>1255</v>
      </c>
      <c r="Y194" t="s">
        <v>52</v>
      </c>
      <c r="Z194">
        <v>0.72</v>
      </c>
      <c r="AA194">
        <v>0.72</v>
      </c>
      <c r="AB194" t="s">
        <v>2125</v>
      </c>
      <c r="AC194" t="s">
        <v>1732</v>
      </c>
      <c r="AD194" t="s">
        <v>1732</v>
      </c>
      <c r="AE194" t="s">
        <v>2126</v>
      </c>
      <c r="AF194" t="s">
        <v>563</v>
      </c>
      <c r="AG194" t="s">
        <v>52</v>
      </c>
      <c r="AH194" t="s">
        <v>2127</v>
      </c>
      <c r="AI194" t="s">
        <v>2127</v>
      </c>
      <c r="AJ194" t="s">
        <v>2128</v>
      </c>
      <c r="AK194" t="s">
        <v>2129</v>
      </c>
      <c r="AL194" t="s">
        <v>2129</v>
      </c>
      <c r="AM194" t="s">
        <v>2078</v>
      </c>
    </row>
    <row r="195" spans="1:39" x14ac:dyDescent="0.35">
      <c r="A195" t="s">
        <v>39</v>
      </c>
      <c r="B195" t="s">
        <v>2130</v>
      </c>
      <c r="C195">
        <v>354560</v>
      </c>
      <c r="D195" t="s">
        <v>72</v>
      </c>
      <c r="E195" t="s">
        <v>2131</v>
      </c>
      <c r="F195" t="s">
        <v>2094</v>
      </c>
      <c r="G195" t="s">
        <v>75</v>
      </c>
      <c r="H195" t="s">
        <v>45</v>
      </c>
      <c r="I195" t="s">
        <v>2048</v>
      </c>
      <c r="J195" t="s">
        <v>78</v>
      </c>
      <c r="K195" t="s">
        <v>79</v>
      </c>
      <c r="L195" t="s">
        <v>2066</v>
      </c>
      <c r="M195" t="s">
        <v>81</v>
      </c>
      <c r="N195" t="s">
        <v>82</v>
      </c>
      <c r="O195" t="s">
        <v>2132</v>
      </c>
      <c r="P195" t="s">
        <v>2133</v>
      </c>
      <c r="Q195" t="s">
        <v>550</v>
      </c>
      <c r="R195" t="s">
        <v>2134</v>
      </c>
      <c r="S195" t="s">
        <v>2134</v>
      </c>
      <c r="T195" t="s">
        <v>550</v>
      </c>
      <c r="U195" t="s">
        <v>52</v>
      </c>
      <c r="V195" t="s">
        <v>52</v>
      </c>
      <c r="W195" t="s">
        <v>1106</v>
      </c>
      <c r="X195" t="s">
        <v>1779</v>
      </c>
      <c r="Y195" t="s">
        <v>2135</v>
      </c>
      <c r="Z195">
        <v>1.1299999999999999</v>
      </c>
      <c r="AA195">
        <v>1.1299999999999999</v>
      </c>
      <c r="AB195" t="s">
        <v>2135</v>
      </c>
      <c r="AC195" t="s">
        <v>52</v>
      </c>
      <c r="AD195" t="s">
        <v>52</v>
      </c>
      <c r="AE195" t="s">
        <v>2136</v>
      </c>
      <c r="AF195" t="s">
        <v>2137</v>
      </c>
      <c r="AG195" t="s">
        <v>2138</v>
      </c>
      <c r="AH195" t="s">
        <v>2139</v>
      </c>
      <c r="AI195" t="s">
        <v>2139</v>
      </c>
      <c r="AJ195" t="s">
        <v>2138</v>
      </c>
      <c r="AK195" t="s">
        <v>52</v>
      </c>
      <c r="AL195" t="s">
        <v>52</v>
      </c>
      <c r="AM195" t="s">
        <v>2078</v>
      </c>
    </row>
    <row r="196" spans="1:39" x14ac:dyDescent="0.35">
      <c r="A196" t="s">
        <v>39</v>
      </c>
      <c r="B196" t="s">
        <v>2140</v>
      </c>
      <c r="C196">
        <v>355907</v>
      </c>
      <c r="D196" t="s">
        <v>72</v>
      </c>
      <c r="E196" t="s">
        <v>2141</v>
      </c>
      <c r="F196" t="s">
        <v>692</v>
      </c>
      <c r="G196" t="s">
        <v>554</v>
      </c>
      <c r="H196" t="s">
        <v>45</v>
      </c>
      <c r="I196" t="s">
        <v>2048</v>
      </c>
      <c r="J196" t="s">
        <v>78</v>
      </c>
      <c r="K196" t="s">
        <v>79</v>
      </c>
      <c r="L196" t="s">
        <v>555</v>
      </c>
      <c r="M196" t="s">
        <v>81</v>
      </c>
      <c r="N196" t="s">
        <v>557</v>
      </c>
      <c r="O196" t="s">
        <v>52</v>
      </c>
      <c r="P196" t="s">
        <v>52</v>
      </c>
      <c r="Q196" t="s">
        <v>2142</v>
      </c>
      <c r="R196" t="s">
        <v>2143</v>
      </c>
      <c r="S196" t="s">
        <v>2143</v>
      </c>
      <c r="T196" t="s">
        <v>2144</v>
      </c>
      <c r="U196" t="s">
        <v>1548</v>
      </c>
      <c r="V196" t="s">
        <v>2145</v>
      </c>
      <c r="W196" t="s">
        <v>52</v>
      </c>
      <c r="X196" t="s">
        <v>52</v>
      </c>
      <c r="Y196" t="s">
        <v>2146</v>
      </c>
      <c r="Z196">
        <v>1.57</v>
      </c>
      <c r="AA196">
        <v>1.57</v>
      </c>
      <c r="AB196" t="s">
        <v>1368</v>
      </c>
      <c r="AC196" t="s">
        <v>1329</v>
      </c>
      <c r="AD196" t="s">
        <v>2147</v>
      </c>
      <c r="AE196" t="s">
        <v>52</v>
      </c>
      <c r="AF196" t="s">
        <v>52</v>
      </c>
      <c r="AG196" t="s">
        <v>894</v>
      </c>
      <c r="AH196" t="s">
        <v>2148</v>
      </c>
      <c r="AI196" t="s">
        <v>2148</v>
      </c>
      <c r="AJ196" t="s">
        <v>1759</v>
      </c>
      <c r="AK196" t="s">
        <v>2149</v>
      </c>
      <c r="AL196" t="s">
        <v>2150</v>
      </c>
      <c r="AM196" t="s">
        <v>555</v>
      </c>
    </row>
    <row r="197" spans="1:39" x14ac:dyDescent="0.35">
      <c r="A197" t="s">
        <v>39</v>
      </c>
      <c r="B197" t="s">
        <v>2151</v>
      </c>
      <c r="C197">
        <v>353611</v>
      </c>
      <c r="D197" t="s">
        <v>72</v>
      </c>
      <c r="E197" t="s">
        <v>2152</v>
      </c>
      <c r="F197" t="s">
        <v>215</v>
      </c>
      <c r="G197" t="s">
        <v>44</v>
      </c>
      <c r="H197" t="s">
        <v>45</v>
      </c>
      <c r="I197" t="s">
        <v>108</v>
      </c>
      <c r="J197" t="s">
        <v>47</v>
      </c>
      <c r="K197" t="s">
        <v>79</v>
      </c>
      <c r="L197" t="s">
        <v>555</v>
      </c>
      <c r="M197" t="s">
        <v>63</v>
      </c>
      <c r="N197" t="s">
        <v>51</v>
      </c>
      <c r="O197" t="s">
        <v>2153</v>
      </c>
      <c r="P197" t="s">
        <v>894</v>
      </c>
      <c r="Q197" t="s">
        <v>891</v>
      </c>
      <c r="R197" t="s">
        <v>893</v>
      </c>
      <c r="S197" t="s">
        <v>893</v>
      </c>
      <c r="T197" t="s">
        <v>894</v>
      </c>
      <c r="U197" t="s">
        <v>894</v>
      </c>
      <c r="V197" t="s">
        <v>894</v>
      </c>
      <c r="W197" t="s">
        <v>2154</v>
      </c>
      <c r="X197" t="s">
        <v>2155</v>
      </c>
      <c r="Y197" t="s">
        <v>2156</v>
      </c>
      <c r="Z197">
        <v>3</v>
      </c>
      <c r="AA197">
        <v>3</v>
      </c>
      <c r="AB197" t="s">
        <v>2155</v>
      </c>
      <c r="AC197" t="s">
        <v>2155</v>
      </c>
      <c r="AD197" t="s">
        <v>2155</v>
      </c>
      <c r="AE197" t="s">
        <v>2157</v>
      </c>
      <c r="AF197" t="s">
        <v>2158</v>
      </c>
      <c r="AG197" t="s">
        <v>2159</v>
      </c>
      <c r="AH197" t="s">
        <v>2160</v>
      </c>
      <c r="AI197" t="s">
        <v>2160</v>
      </c>
      <c r="AJ197" t="s">
        <v>2158</v>
      </c>
      <c r="AK197" t="s">
        <v>2158</v>
      </c>
      <c r="AL197" t="s">
        <v>2158</v>
      </c>
      <c r="AM197" t="s">
        <v>555</v>
      </c>
    </row>
    <row r="198" spans="1:39" x14ac:dyDescent="0.35">
      <c r="A198" t="s">
        <v>39</v>
      </c>
      <c r="B198" t="s">
        <v>2161</v>
      </c>
      <c r="C198">
        <v>354881</v>
      </c>
      <c r="D198" t="s">
        <v>72</v>
      </c>
      <c r="E198" t="s">
        <v>2162</v>
      </c>
      <c r="F198" t="s">
        <v>245</v>
      </c>
      <c r="G198" t="s">
        <v>75</v>
      </c>
      <c r="H198" t="s">
        <v>76</v>
      </c>
      <c r="I198" t="s">
        <v>108</v>
      </c>
      <c r="J198" t="s">
        <v>78</v>
      </c>
      <c r="K198" t="s">
        <v>79</v>
      </c>
      <c r="L198" t="s">
        <v>1352</v>
      </c>
      <c r="M198" t="s">
        <v>81</v>
      </c>
      <c r="N198" t="s">
        <v>82</v>
      </c>
      <c r="O198" t="s">
        <v>52</v>
      </c>
      <c r="P198" t="s">
        <v>52</v>
      </c>
      <c r="Q198" t="s">
        <v>52</v>
      </c>
      <c r="R198" t="s">
        <v>52</v>
      </c>
      <c r="S198" t="s">
        <v>52</v>
      </c>
      <c r="T198" t="s">
        <v>52</v>
      </c>
      <c r="U198" t="s">
        <v>52</v>
      </c>
      <c r="V198" t="s">
        <v>52</v>
      </c>
      <c r="W198" t="s">
        <v>52</v>
      </c>
      <c r="X198" t="s">
        <v>52</v>
      </c>
      <c r="Y198" t="s">
        <v>52</v>
      </c>
      <c r="Z198">
        <v>0</v>
      </c>
      <c r="AA198">
        <v>0</v>
      </c>
      <c r="AB198" t="s">
        <v>52</v>
      </c>
      <c r="AC198" t="s">
        <v>52</v>
      </c>
      <c r="AD198" t="s">
        <v>52</v>
      </c>
      <c r="AE198" t="s">
        <v>52</v>
      </c>
      <c r="AF198" t="s">
        <v>52</v>
      </c>
      <c r="AG198" t="s">
        <v>52</v>
      </c>
      <c r="AH198" t="s">
        <v>52</v>
      </c>
      <c r="AI198" t="s">
        <v>52</v>
      </c>
      <c r="AJ198" t="s">
        <v>52</v>
      </c>
      <c r="AK198" t="s">
        <v>52</v>
      </c>
      <c r="AL198" t="s">
        <v>52</v>
      </c>
      <c r="AM198" t="s">
        <v>1361</v>
      </c>
    </row>
    <row r="199" spans="1:39" x14ac:dyDescent="0.35">
      <c r="A199" t="s">
        <v>39</v>
      </c>
      <c r="B199" t="s">
        <v>2163</v>
      </c>
      <c r="C199">
        <v>425186</v>
      </c>
      <c r="D199" t="s">
        <v>41</v>
      </c>
      <c r="E199" t="s">
        <v>2164</v>
      </c>
      <c r="F199" t="s">
        <v>2165</v>
      </c>
      <c r="G199" t="s">
        <v>44</v>
      </c>
      <c r="H199" t="s">
        <v>45</v>
      </c>
      <c r="I199" t="s">
        <v>46</v>
      </c>
      <c r="J199" t="s">
        <v>78</v>
      </c>
      <c r="K199" t="s">
        <v>48</v>
      </c>
      <c r="L199" t="s">
        <v>2166</v>
      </c>
      <c r="M199" t="s">
        <v>81</v>
      </c>
      <c r="N199" t="s">
        <v>51</v>
      </c>
      <c r="O199" t="s">
        <v>1255</v>
      </c>
      <c r="P199" t="s">
        <v>52</v>
      </c>
      <c r="Q199" t="s">
        <v>52</v>
      </c>
      <c r="R199" t="s">
        <v>52</v>
      </c>
      <c r="S199" t="s">
        <v>52</v>
      </c>
      <c r="T199" t="s">
        <v>52</v>
      </c>
      <c r="U199" t="s">
        <v>52</v>
      </c>
      <c r="V199" t="s">
        <v>1452</v>
      </c>
      <c r="W199" t="s">
        <v>2167</v>
      </c>
      <c r="X199" t="s">
        <v>52</v>
      </c>
      <c r="Y199" t="s">
        <v>52</v>
      </c>
      <c r="Z199">
        <v>0</v>
      </c>
      <c r="AA199">
        <v>0</v>
      </c>
      <c r="AB199" t="s">
        <v>52</v>
      </c>
      <c r="AC199" t="s">
        <v>52</v>
      </c>
      <c r="AD199" t="s">
        <v>2168</v>
      </c>
      <c r="AE199" t="s">
        <v>2169</v>
      </c>
      <c r="AF199" t="s">
        <v>52</v>
      </c>
      <c r="AG199" t="s">
        <v>52</v>
      </c>
      <c r="AH199" t="s">
        <v>52</v>
      </c>
      <c r="AI199" t="s">
        <v>52</v>
      </c>
      <c r="AJ199" t="s">
        <v>52</v>
      </c>
      <c r="AK199" t="s">
        <v>52</v>
      </c>
      <c r="AL199" t="s">
        <v>2170</v>
      </c>
      <c r="AM199" t="s">
        <v>49</v>
      </c>
    </row>
    <row r="200" spans="1:39" x14ac:dyDescent="0.35">
      <c r="A200" t="s">
        <v>39</v>
      </c>
      <c r="B200" t="s">
        <v>2171</v>
      </c>
      <c r="C200">
        <v>425351</v>
      </c>
      <c r="D200" t="s">
        <v>41</v>
      </c>
      <c r="E200" t="s">
        <v>2172</v>
      </c>
      <c r="F200" t="s">
        <v>74</v>
      </c>
      <c r="G200" t="s">
        <v>44</v>
      </c>
      <c r="H200" t="s">
        <v>45</v>
      </c>
      <c r="I200" t="s">
        <v>46</v>
      </c>
      <c r="J200" t="s">
        <v>78</v>
      </c>
      <c r="K200" t="s">
        <v>48</v>
      </c>
      <c r="L200" t="s">
        <v>1737</v>
      </c>
      <c r="M200" t="s">
        <v>81</v>
      </c>
      <c r="N200" t="s">
        <v>51</v>
      </c>
      <c r="O200" t="s">
        <v>236</v>
      </c>
      <c r="P200" t="s">
        <v>52</v>
      </c>
      <c r="Q200" t="s">
        <v>2173</v>
      </c>
      <c r="R200" t="s">
        <v>2173</v>
      </c>
      <c r="S200" t="s">
        <v>2174</v>
      </c>
      <c r="T200" t="s">
        <v>52</v>
      </c>
      <c r="U200" t="s">
        <v>2175</v>
      </c>
      <c r="V200" t="s">
        <v>2176</v>
      </c>
      <c r="W200" t="s">
        <v>1082</v>
      </c>
      <c r="X200" t="s">
        <v>52</v>
      </c>
      <c r="Y200" t="s">
        <v>2177</v>
      </c>
      <c r="Z200">
        <v>8.4499999999999993</v>
      </c>
      <c r="AA200">
        <v>3.64</v>
      </c>
      <c r="AB200" t="s">
        <v>52</v>
      </c>
      <c r="AC200" t="s">
        <v>2178</v>
      </c>
      <c r="AD200" t="s">
        <v>2179</v>
      </c>
      <c r="AE200" t="s">
        <v>2180</v>
      </c>
      <c r="AF200" t="s">
        <v>52</v>
      </c>
      <c r="AG200" t="s">
        <v>2181</v>
      </c>
      <c r="AH200" t="s">
        <v>2181</v>
      </c>
      <c r="AI200" t="s">
        <v>2182</v>
      </c>
      <c r="AJ200" t="s">
        <v>52</v>
      </c>
      <c r="AK200" t="s">
        <v>2183</v>
      </c>
      <c r="AL200" t="s">
        <v>2184</v>
      </c>
      <c r="AM200" t="s">
        <v>49</v>
      </c>
    </row>
    <row r="201" spans="1:39" x14ac:dyDescent="0.35">
      <c r="A201" t="s">
        <v>39</v>
      </c>
      <c r="B201" t="s">
        <v>2185</v>
      </c>
      <c r="C201">
        <v>425381</v>
      </c>
      <c r="D201" t="s">
        <v>41</v>
      </c>
      <c r="E201" t="s">
        <v>2186</v>
      </c>
      <c r="F201" t="s">
        <v>1743</v>
      </c>
      <c r="G201" t="s">
        <v>44</v>
      </c>
      <c r="H201" t="s">
        <v>45</v>
      </c>
      <c r="I201" t="s">
        <v>46</v>
      </c>
      <c r="J201" t="s">
        <v>78</v>
      </c>
      <c r="K201" t="s">
        <v>48</v>
      </c>
      <c r="L201" t="s">
        <v>1744</v>
      </c>
      <c r="M201" t="s">
        <v>81</v>
      </c>
      <c r="N201" t="s">
        <v>51</v>
      </c>
      <c r="O201" t="s">
        <v>52</v>
      </c>
      <c r="P201" t="s">
        <v>52</v>
      </c>
      <c r="Q201" t="s">
        <v>1852</v>
      </c>
      <c r="R201" t="s">
        <v>1852</v>
      </c>
      <c r="S201" t="s">
        <v>1852</v>
      </c>
      <c r="T201" t="s">
        <v>417</v>
      </c>
      <c r="U201" t="s">
        <v>52</v>
      </c>
      <c r="V201" t="s">
        <v>224</v>
      </c>
      <c r="W201" t="s">
        <v>52</v>
      </c>
      <c r="X201" t="s">
        <v>52</v>
      </c>
      <c r="Y201" t="s">
        <v>2062</v>
      </c>
      <c r="Z201">
        <v>10.64</v>
      </c>
      <c r="AA201">
        <v>10.64</v>
      </c>
      <c r="AB201" t="s">
        <v>2187</v>
      </c>
      <c r="AC201" t="s">
        <v>52</v>
      </c>
      <c r="AD201" t="s">
        <v>2188</v>
      </c>
      <c r="AE201" t="s">
        <v>52</v>
      </c>
      <c r="AF201" t="s">
        <v>52</v>
      </c>
      <c r="AG201" t="s">
        <v>2189</v>
      </c>
      <c r="AH201" t="s">
        <v>2189</v>
      </c>
      <c r="AI201" t="s">
        <v>2189</v>
      </c>
      <c r="AJ201" t="s">
        <v>2190</v>
      </c>
      <c r="AK201" t="s">
        <v>52</v>
      </c>
      <c r="AL201" t="s">
        <v>2191</v>
      </c>
      <c r="AM201" t="s">
        <v>49</v>
      </c>
    </row>
    <row r="202" spans="1:39" x14ac:dyDescent="0.35">
      <c r="A202" t="s">
        <v>39</v>
      </c>
      <c r="B202" t="s">
        <v>2192</v>
      </c>
      <c r="C202">
        <v>425382</v>
      </c>
      <c r="D202" t="s">
        <v>41</v>
      </c>
      <c r="E202" t="s">
        <v>2193</v>
      </c>
      <c r="F202" t="s">
        <v>2194</v>
      </c>
      <c r="G202" t="s">
        <v>44</v>
      </c>
      <c r="H202" t="s">
        <v>45</v>
      </c>
      <c r="I202" t="s">
        <v>46</v>
      </c>
      <c r="J202" t="s">
        <v>78</v>
      </c>
      <c r="K202" t="s">
        <v>48</v>
      </c>
      <c r="L202" t="s">
        <v>1744</v>
      </c>
      <c r="M202" t="s">
        <v>81</v>
      </c>
      <c r="N202" t="s">
        <v>51</v>
      </c>
      <c r="O202" t="s">
        <v>52</v>
      </c>
      <c r="P202" t="s">
        <v>52</v>
      </c>
      <c r="Q202" t="s">
        <v>2132</v>
      </c>
      <c r="R202" t="s">
        <v>2132</v>
      </c>
      <c r="S202" t="s">
        <v>1376</v>
      </c>
      <c r="T202" t="s">
        <v>52</v>
      </c>
      <c r="U202" t="s">
        <v>1852</v>
      </c>
      <c r="V202" t="s">
        <v>2195</v>
      </c>
      <c r="W202" t="s">
        <v>52</v>
      </c>
      <c r="X202" t="s">
        <v>52</v>
      </c>
      <c r="Y202" t="s">
        <v>2196</v>
      </c>
      <c r="Z202">
        <v>29.06</v>
      </c>
      <c r="AA202">
        <v>2.97</v>
      </c>
      <c r="AB202" t="s">
        <v>52</v>
      </c>
      <c r="AC202" t="s">
        <v>2197</v>
      </c>
      <c r="AD202" t="s">
        <v>2198</v>
      </c>
      <c r="AE202" t="s">
        <v>52</v>
      </c>
      <c r="AF202" t="s">
        <v>52</v>
      </c>
      <c r="AG202" t="s">
        <v>2199</v>
      </c>
      <c r="AH202" t="s">
        <v>2199</v>
      </c>
      <c r="AI202" t="s">
        <v>617</v>
      </c>
      <c r="AJ202" t="s">
        <v>52</v>
      </c>
      <c r="AK202" t="s">
        <v>2200</v>
      </c>
      <c r="AL202" t="s">
        <v>2201</v>
      </c>
      <c r="AM202" t="s">
        <v>49</v>
      </c>
    </row>
    <row r="203" spans="1:39" x14ac:dyDescent="0.35">
      <c r="A203" t="s">
        <v>39</v>
      </c>
      <c r="B203" t="s">
        <v>2202</v>
      </c>
      <c r="C203">
        <v>425383</v>
      </c>
      <c r="D203" t="s">
        <v>41</v>
      </c>
      <c r="E203" t="s">
        <v>2203</v>
      </c>
      <c r="F203" t="s">
        <v>1743</v>
      </c>
      <c r="G203" t="s">
        <v>44</v>
      </c>
      <c r="H203" t="s">
        <v>45</v>
      </c>
      <c r="I203" t="s">
        <v>46</v>
      </c>
      <c r="J203" t="s">
        <v>78</v>
      </c>
      <c r="K203" t="s">
        <v>48</v>
      </c>
      <c r="L203" t="s">
        <v>2166</v>
      </c>
      <c r="M203" t="s">
        <v>81</v>
      </c>
      <c r="N203" t="s">
        <v>51</v>
      </c>
      <c r="O203" t="s">
        <v>52</v>
      </c>
      <c r="P203" t="s">
        <v>52</v>
      </c>
      <c r="Q203" t="s">
        <v>2204</v>
      </c>
      <c r="R203" t="s">
        <v>52</v>
      </c>
      <c r="S203" t="s">
        <v>52</v>
      </c>
      <c r="T203" t="s">
        <v>417</v>
      </c>
      <c r="U203" t="s">
        <v>52</v>
      </c>
      <c r="V203" t="s">
        <v>52</v>
      </c>
      <c r="W203" t="s">
        <v>52</v>
      </c>
      <c r="X203" t="s">
        <v>52</v>
      </c>
      <c r="Y203" t="s">
        <v>2205</v>
      </c>
      <c r="Z203">
        <v>0</v>
      </c>
      <c r="AA203">
        <v>0</v>
      </c>
      <c r="AB203" t="s">
        <v>2187</v>
      </c>
      <c r="AC203" t="s">
        <v>52</v>
      </c>
      <c r="AD203" t="s">
        <v>52</v>
      </c>
      <c r="AE203" t="s">
        <v>52</v>
      </c>
      <c r="AF203" t="s">
        <v>52</v>
      </c>
      <c r="AG203" t="s">
        <v>2206</v>
      </c>
      <c r="AH203" t="s">
        <v>52</v>
      </c>
      <c r="AI203" t="s">
        <v>52</v>
      </c>
      <c r="AJ203" t="s">
        <v>2190</v>
      </c>
      <c r="AK203" t="s">
        <v>52</v>
      </c>
      <c r="AL203" t="s">
        <v>52</v>
      </c>
      <c r="AM203" t="s">
        <v>49</v>
      </c>
    </row>
    <row r="204" spans="1:39" x14ac:dyDescent="0.35">
      <c r="A204" t="s">
        <v>39</v>
      </c>
      <c r="B204" t="s">
        <v>2207</v>
      </c>
      <c r="C204">
        <v>425243</v>
      </c>
      <c r="D204" t="s">
        <v>41</v>
      </c>
      <c r="E204" t="s">
        <v>2208</v>
      </c>
      <c r="F204" t="s">
        <v>74</v>
      </c>
      <c r="G204" t="s">
        <v>44</v>
      </c>
      <c r="H204" t="s">
        <v>45</v>
      </c>
      <c r="I204" t="s">
        <v>46</v>
      </c>
      <c r="J204" t="s">
        <v>78</v>
      </c>
      <c r="K204" t="s">
        <v>48</v>
      </c>
      <c r="L204" t="s">
        <v>2209</v>
      </c>
      <c r="M204" t="s">
        <v>81</v>
      </c>
      <c r="N204" t="s">
        <v>51</v>
      </c>
      <c r="O204" t="s">
        <v>1991</v>
      </c>
      <c r="P204" t="s">
        <v>52</v>
      </c>
      <c r="Q204" t="s">
        <v>52</v>
      </c>
      <c r="R204" t="s">
        <v>52</v>
      </c>
      <c r="S204" t="s">
        <v>52</v>
      </c>
      <c r="T204" t="s">
        <v>52</v>
      </c>
      <c r="U204" t="s">
        <v>52</v>
      </c>
      <c r="V204" t="s">
        <v>52</v>
      </c>
      <c r="W204" t="s">
        <v>238</v>
      </c>
      <c r="X204" t="s">
        <v>52</v>
      </c>
      <c r="Y204" t="s">
        <v>52</v>
      </c>
      <c r="Z204">
        <v>0</v>
      </c>
      <c r="AA204">
        <v>0</v>
      </c>
      <c r="AB204" t="s">
        <v>52</v>
      </c>
      <c r="AC204" t="s">
        <v>52</v>
      </c>
      <c r="AD204" t="s">
        <v>52</v>
      </c>
      <c r="AE204" t="s">
        <v>2210</v>
      </c>
      <c r="AF204" t="s">
        <v>52</v>
      </c>
      <c r="AG204" t="s">
        <v>52</v>
      </c>
      <c r="AH204" t="s">
        <v>52</v>
      </c>
      <c r="AI204" t="s">
        <v>52</v>
      </c>
      <c r="AJ204" t="s">
        <v>52</v>
      </c>
      <c r="AK204" t="s">
        <v>52</v>
      </c>
      <c r="AL204" t="s">
        <v>52</v>
      </c>
      <c r="AM204" t="s">
        <v>49</v>
      </c>
    </row>
    <row r="205" spans="1:39" x14ac:dyDescent="0.35">
      <c r="A205" t="s">
        <v>39</v>
      </c>
      <c r="B205" t="s">
        <v>2211</v>
      </c>
      <c r="C205">
        <v>425405</v>
      </c>
      <c r="D205" t="s">
        <v>41</v>
      </c>
      <c r="E205" t="s">
        <v>2212</v>
      </c>
      <c r="F205" t="s">
        <v>74</v>
      </c>
      <c r="G205" t="s">
        <v>44</v>
      </c>
      <c r="H205" t="s">
        <v>45</v>
      </c>
      <c r="I205" t="s">
        <v>46</v>
      </c>
      <c r="J205" t="s">
        <v>78</v>
      </c>
      <c r="K205" t="s">
        <v>48</v>
      </c>
      <c r="L205" t="s">
        <v>1737</v>
      </c>
      <c r="M205" t="s">
        <v>81</v>
      </c>
      <c r="N205" t="s">
        <v>51</v>
      </c>
      <c r="O205" t="s">
        <v>670</v>
      </c>
      <c r="P205" t="s">
        <v>52</v>
      </c>
      <c r="Q205" t="s">
        <v>52</v>
      </c>
      <c r="R205" t="s">
        <v>2213</v>
      </c>
      <c r="S205" t="s">
        <v>52</v>
      </c>
      <c r="T205" t="s">
        <v>52</v>
      </c>
      <c r="U205" t="s">
        <v>52</v>
      </c>
      <c r="V205" t="s">
        <v>52</v>
      </c>
      <c r="W205" t="s">
        <v>2214</v>
      </c>
      <c r="X205" t="s">
        <v>52</v>
      </c>
      <c r="Y205" t="s">
        <v>52</v>
      </c>
      <c r="Z205">
        <v>0.23</v>
      </c>
      <c r="AA205">
        <v>0</v>
      </c>
      <c r="AB205" t="s">
        <v>52</v>
      </c>
      <c r="AC205" t="s">
        <v>52</v>
      </c>
      <c r="AD205" t="s">
        <v>52</v>
      </c>
      <c r="AE205" t="s">
        <v>2215</v>
      </c>
      <c r="AF205" t="s">
        <v>52</v>
      </c>
      <c r="AG205" t="s">
        <v>52</v>
      </c>
      <c r="AH205" t="s">
        <v>2216</v>
      </c>
      <c r="AI205" t="s">
        <v>52</v>
      </c>
      <c r="AJ205" t="s">
        <v>52</v>
      </c>
      <c r="AK205" t="s">
        <v>52</v>
      </c>
      <c r="AL205" t="s">
        <v>52</v>
      </c>
      <c r="AM205" t="s">
        <v>49</v>
      </c>
    </row>
    <row r="206" spans="1:39" x14ac:dyDescent="0.35">
      <c r="A206" t="s">
        <v>39</v>
      </c>
      <c r="B206" t="s">
        <v>2217</v>
      </c>
      <c r="C206">
        <v>425330</v>
      </c>
      <c r="D206" t="s">
        <v>41</v>
      </c>
      <c r="E206" t="s">
        <v>2218</v>
      </c>
      <c r="F206" t="s">
        <v>116</v>
      </c>
      <c r="G206" t="s">
        <v>44</v>
      </c>
      <c r="H206" t="s">
        <v>45</v>
      </c>
      <c r="I206" t="s">
        <v>46</v>
      </c>
      <c r="J206" t="s">
        <v>78</v>
      </c>
      <c r="K206" t="s">
        <v>48</v>
      </c>
      <c r="L206" t="s">
        <v>2219</v>
      </c>
      <c r="M206" t="s">
        <v>81</v>
      </c>
      <c r="N206" t="s">
        <v>51</v>
      </c>
      <c r="O206" t="s">
        <v>2220</v>
      </c>
      <c r="P206" t="s">
        <v>52</v>
      </c>
      <c r="Q206" t="s">
        <v>1080</v>
      </c>
      <c r="R206" t="s">
        <v>2221</v>
      </c>
      <c r="S206" t="s">
        <v>501</v>
      </c>
      <c r="T206" t="s">
        <v>1080</v>
      </c>
      <c r="U206" t="s">
        <v>501</v>
      </c>
      <c r="V206" t="s">
        <v>52</v>
      </c>
      <c r="W206" t="s">
        <v>2125</v>
      </c>
      <c r="X206" t="s">
        <v>52</v>
      </c>
      <c r="Y206" t="s">
        <v>1687</v>
      </c>
      <c r="Z206">
        <v>1.1399999999999999</v>
      </c>
      <c r="AA206">
        <v>1.71</v>
      </c>
      <c r="AB206" t="s">
        <v>1687</v>
      </c>
      <c r="AC206" t="s">
        <v>1385</v>
      </c>
      <c r="AD206" t="s">
        <v>52</v>
      </c>
      <c r="AE206" t="s">
        <v>2222</v>
      </c>
      <c r="AF206" t="s">
        <v>52</v>
      </c>
      <c r="AG206" t="s">
        <v>2223</v>
      </c>
      <c r="AH206" t="s">
        <v>2224</v>
      </c>
      <c r="AI206" t="s">
        <v>2225</v>
      </c>
      <c r="AJ206" t="s">
        <v>2223</v>
      </c>
      <c r="AK206" t="s">
        <v>2225</v>
      </c>
      <c r="AL206" t="s">
        <v>52</v>
      </c>
      <c r="AM206" t="s">
        <v>49</v>
      </c>
    </row>
    <row r="207" spans="1:39" x14ac:dyDescent="0.35">
      <c r="A207" t="s">
        <v>39</v>
      </c>
      <c r="B207" t="s">
        <v>2226</v>
      </c>
      <c r="C207">
        <v>425477</v>
      </c>
      <c r="D207" t="s">
        <v>41</v>
      </c>
      <c r="E207" t="s">
        <v>2227</v>
      </c>
      <c r="F207" t="s">
        <v>2228</v>
      </c>
      <c r="G207" t="s">
        <v>44</v>
      </c>
      <c r="H207" t="s">
        <v>45</v>
      </c>
      <c r="I207" t="s">
        <v>46</v>
      </c>
      <c r="J207" t="s">
        <v>78</v>
      </c>
      <c r="K207" t="s">
        <v>48</v>
      </c>
      <c r="L207" t="s">
        <v>2229</v>
      </c>
      <c r="M207" t="s">
        <v>81</v>
      </c>
      <c r="N207" t="s">
        <v>51</v>
      </c>
      <c r="O207" t="s">
        <v>1860</v>
      </c>
      <c r="P207" t="s">
        <v>52</v>
      </c>
      <c r="Q207" t="s">
        <v>1105</v>
      </c>
      <c r="R207" t="s">
        <v>1105</v>
      </c>
      <c r="S207" t="s">
        <v>1105</v>
      </c>
      <c r="T207" t="s">
        <v>52</v>
      </c>
      <c r="U207" t="s">
        <v>52</v>
      </c>
      <c r="V207" t="s">
        <v>52</v>
      </c>
      <c r="W207" t="s">
        <v>2230</v>
      </c>
      <c r="X207" t="s">
        <v>52</v>
      </c>
      <c r="Y207" t="s">
        <v>2231</v>
      </c>
      <c r="Z207">
        <v>27.9</v>
      </c>
      <c r="AA207">
        <v>27.9</v>
      </c>
      <c r="AB207" t="s">
        <v>52</v>
      </c>
      <c r="AC207" t="s">
        <v>52</v>
      </c>
      <c r="AD207" t="s">
        <v>52</v>
      </c>
      <c r="AE207" t="s">
        <v>2082</v>
      </c>
      <c r="AF207" t="s">
        <v>52</v>
      </c>
      <c r="AG207" t="s">
        <v>2232</v>
      </c>
      <c r="AH207" t="s">
        <v>2232</v>
      </c>
      <c r="AI207" t="s">
        <v>2232</v>
      </c>
      <c r="AJ207" t="s">
        <v>52</v>
      </c>
      <c r="AK207" t="s">
        <v>52</v>
      </c>
      <c r="AL207" t="s">
        <v>52</v>
      </c>
      <c r="AM207" t="s">
        <v>49</v>
      </c>
    </row>
  </sheetData>
  <pageMargins left="0.75" right="0.75" top="1" bottom="1" header="0.5" footer="0.5"/>
  <headerFooter>
    <oddHeader>&amp;C&amp;"Aptos"&amp;10&amp;K4A569E Internal&amp;1#_x000D_&amp;"Calibri"&amp;11&amp;K000000&amp;"Calibri"&amp;11&amp;K000000&amp;"Calibri"&amp;11&amp;K000000&amp;"Aptos"&amp;1 &amp;K4A569E Internal#_x000D_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07"/>
  <sheetViews>
    <sheetView topLeftCell="H1" workbookViewId="0">
      <selection activeCell="Q3" sqref="Q3"/>
    </sheetView>
  </sheetViews>
  <sheetFormatPr baseColWidth="10" defaultColWidth="8.7265625" defaultRowHeight="14.5" x14ac:dyDescent="0.35"/>
  <cols>
    <col min="4" max="4" width="30.90625" customWidth="1"/>
    <col min="5" max="5" width="16.90625" customWidth="1"/>
    <col min="6" max="6" width="16.7265625" customWidth="1"/>
    <col min="7" max="7" width="17.36328125" customWidth="1"/>
    <col min="8" max="8" width="17.08984375" customWidth="1"/>
    <col min="10" max="10" width="15.6328125" customWidth="1"/>
    <col min="11" max="11" width="18.54296875" customWidth="1"/>
    <col min="12" max="12" width="13.36328125" customWidth="1"/>
    <col min="13" max="13" width="20.6328125" customWidth="1"/>
    <col min="14" max="15" width="14" customWidth="1"/>
    <col min="16" max="16" width="18.36328125" customWidth="1"/>
    <col min="17" max="17" width="34" customWidth="1"/>
  </cols>
  <sheetData>
    <row r="1" spans="1:17" x14ac:dyDescent="0.35">
      <c r="A1" s="1" t="s">
        <v>0</v>
      </c>
      <c r="B1" s="1" t="s">
        <v>1</v>
      </c>
      <c r="C1" s="1" t="s">
        <v>3</v>
      </c>
      <c r="D1" s="1" t="s">
        <v>38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31</v>
      </c>
      <c r="N1" s="1" t="s">
        <v>32</v>
      </c>
      <c r="O1" s="1" t="s">
        <v>33</v>
      </c>
      <c r="P1" s="1" t="s">
        <v>34</v>
      </c>
      <c r="Q1" t="s">
        <v>2233</v>
      </c>
    </row>
    <row r="2" spans="1:17" x14ac:dyDescent="0.35">
      <c r="A2" t="s">
        <v>39</v>
      </c>
      <c r="B2" t="s">
        <v>40</v>
      </c>
      <c r="C2" t="s">
        <v>41</v>
      </c>
      <c r="D2" t="s">
        <v>49</v>
      </c>
      <c r="E2" s="2" t="s">
        <v>52</v>
      </c>
      <c r="F2" s="2" t="s">
        <v>53</v>
      </c>
      <c r="G2" s="2" t="s">
        <v>53</v>
      </c>
      <c r="H2" s="2" t="s">
        <v>53</v>
      </c>
      <c r="I2" s="2" t="s">
        <v>52</v>
      </c>
      <c r="J2" s="2" t="s">
        <v>55</v>
      </c>
      <c r="K2" s="2">
        <v>3.53</v>
      </c>
      <c r="L2" s="2">
        <v>3.53</v>
      </c>
      <c r="M2" s="2" t="s">
        <v>52</v>
      </c>
      <c r="N2" s="2" t="s">
        <v>57</v>
      </c>
      <c r="O2" s="2" t="s">
        <v>57</v>
      </c>
      <c r="P2" s="2" t="s">
        <v>57</v>
      </c>
      <c r="Q2" t="e">
        <f t="shared" ref="Q2:Q65" si="0">IF(F2&lt;&gt;0,(G2/F2)-1,"")</f>
        <v>#VALUE!</v>
      </c>
    </row>
    <row r="3" spans="1:17" x14ac:dyDescent="0.35">
      <c r="A3" t="s">
        <v>39</v>
      </c>
      <c r="B3" t="s">
        <v>59</v>
      </c>
      <c r="C3" t="s">
        <v>41</v>
      </c>
      <c r="D3" t="s">
        <v>49</v>
      </c>
      <c r="E3" s="2" t="s">
        <v>52</v>
      </c>
      <c r="F3" s="2" t="s">
        <v>52</v>
      </c>
      <c r="G3" s="2" t="s">
        <v>52</v>
      </c>
      <c r="H3" s="2" t="s">
        <v>52</v>
      </c>
      <c r="I3" s="2" t="s">
        <v>52</v>
      </c>
      <c r="J3" s="2" t="s">
        <v>52</v>
      </c>
      <c r="K3" s="2">
        <v>0.16</v>
      </c>
      <c r="L3" s="2">
        <v>0.16</v>
      </c>
      <c r="M3" s="2" t="s">
        <v>52</v>
      </c>
      <c r="N3" s="2" t="s">
        <v>52</v>
      </c>
      <c r="O3" s="2" t="s">
        <v>69</v>
      </c>
      <c r="P3" s="2" t="s">
        <v>69</v>
      </c>
      <c r="Q3" t="e">
        <f t="shared" si="0"/>
        <v>#VALUE!</v>
      </c>
    </row>
    <row r="4" spans="1:17" x14ac:dyDescent="0.35">
      <c r="A4" t="s">
        <v>39</v>
      </c>
      <c r="B4" t="s">
        <v>71</v>
      </c>
      <c r="C4" t="s">
        <v>72</v>
      </c>
      <c r="D4" t="s">
        <v>105</v>
      </c>
      <c r="E4" s="2" t="s">
        <v>84</v>
      </c>
      <c r="F4" s="2" t="s">
        <v>85</v>
      </c>
      <c r="G4" s="2" t="s">
        <v>86</v>
      </c>
      <c r="H4" s="2" t="s">
        <v>87</v>
      </c>
      <c r="I4" s="2" t="s">
        <v>92</v>
      </c>
      <c r="J4" s="2" t="s">
        <v>93</v>
      </c>
      <c r="K4" s="2">
        <v>36.81</v>
      </c>
      <c r="L4" s="2">
        <v>35.96</v>
      </c>
      <c r="M4" s="2" t="s">
        <v>98</v>
      </c>
      <c r="N4" s="2" t="s">
        <v>99</v>
      </c>
      <c r="O4" s="2" t="s">
        <v>100</v>
      </c>
      <c r="P4" s="2" t="s">
        <v>101</v>
      </c>
      <c r="Q4" t="e">
        <f t="shared" si="0"/>
        <v>#VALUE!</v>
      </c>
    </row>
    <row r="5" spans="1:17" x14ac:dyDescent="0.35">
      <c r="A5" t="s">
        <v>39</v>
      </c>
      <c r="B5" t="s">
        <v>106</v>
      </c>
      <c r="C5" t="s">
        <v>72</v>
      </c>
      <c r="D5" t="s">
        <v>113</v>
      </c>
      <c r="E5" s="2" t="s">
        <v>52</v>
      </c>
      <c r="F5" s="2" t="s">
        <v>52</v>
      </c>
      <c r="G5" s="2" t="s">
        <v>52</v>
      </c>
      <c r="H5" s="2" t="s">
        <v>52</v>
      </c>
      <c r="I5" s="2" t="s">
        <v>52</v>
      </c>
      <c r="J5" s="2" t="s">
        <v>52</v>
      </c>
      <c r="K5" s="2">
        <v>0</v>
      </c>
      <c r="L5" s="2">
        <v>0</v>
      </c>
      <c r="M5" s="2" t="s">
        <v>52</v>
      </c>
      <c r="N5" s="2" t="s">
        <v>52</v>
      </c>
      <c r="O5" s="2" t="s">
        <v>52</v>
      </c>
      <c r="P5" s="2" t="s">
        <v>52</v>
      </c>
      <c r="Q5" t="e">
        <f t="shared" si="0"/>
        <v>#VALUE!</v>
      </c>
    </row>
    <row r="6" spans="1:17" x14ac:dyDescent="0.35">
      <c r="A6" t="s">
        <v>39</v>
      </c>
      <c r="B6" t="s">
        <v>114</v>
      </c>
      <c r="C6" t="s">
        <v>72</v>
      </c>
      <c r="D6" t="s">
        <v>117</v>
      </c>
      <c r="E6" s="2" t="s">
        <v>119</v>
      </c>
      <c r="F6" s="2" t="s">
        <v>120</v>
      </c>
      <c r="G6" s="2" t="s">
        <v>121</v>
      </c>
      <c r="H6" s="2" t="s">
        <v>122</v>
      </c>
      <c r="I6" s="2" t="s">
        <v>126</v>
      </c>
      <c r="J6" s="2" t="s">
        <v>127</v>
      </c>
      <c r="K6" s="2">
        <v>10.36</v>
      </c>
      <c r="L6" s="2">
        <v>9.56</v>
      </c>
      <c r="M6" s="2" t="s">
        <v>131</v>
      </c>
      <c r="N6" s="2" t="s">
        <v>132</v>
      </c>
      <c r="O6" s="2" t="s">
        <v>133</v>
      </c>
      <c r="P6" s="2" t="s">
        <v>134</v>
      </c>
      <c r="Q6" t="e">
        <f t="shared" si="0"/>
        <v>#VALUE!</v>
      </c>
    </row>
    <row r="7" spans="1:17" x14ac:dyDescent="0.35">
      <c r="A7" t="s">
        <v>39</v>
      </c>
      <c r="B7" t="s">
        <v>137</v>
      </c>
      <c r="C7" t="s">
        <v>72</v>
      </c>
      <c r="D7" t="s">
        <v>117</v>
      </c>
      <c r="E7" s="2" t="s">
        <v>140</v>
      </c>
      <c r="F7" s="2" t="s">
        <v>141</v>
      </c>
      <c r="G7" s="2" t="s">
        <v>142</v>
      </c>
      <c r="H7" s="2" t="s">
        <v>143</v>
      </c>
      <c r="I7" s="2" t="s">
        <v>147</v>
      </c>
      <c r="J7" s="2" t="s">
        <v>148</v>
      </c>
      <c r="K7" s="2">
        <v>21.47</v>
      </c>
      <c r="L7" s="2">
        <v>19.37</v>
      </c>
      <c r="M7" s="2" t="s">
        <v>152</v>
      </c>
      <c r="N7" s="2" t="s">
        <v>153</v>
      </c>
      <c r="O7" s="2" t="s">
        <v>154</v>
      </c>
      <c r="P7" s="2" t="s">
        <v>155</v>
      </c>
      <c r="Q7" t="e">
        <f t="shared" si="0"/>
        <v>#VALUE!</v>
      </c>
    </row>
    <row r="8" spans="1:17" x14ac:dyDescent="0.35">
      <c r="A8" t="s">
        <v>39</v>
      </c>
      <c r="B8" t="s">
        <v>158</v>
      </c>
      <c r="C8" t="s">
        <v>72</v>
      </c>
      <c r="D8" t="s">
        <v>175</v>
      </c>
      <c r="E8" s="2" t="s">
        <v>164</v>
      </c>
      <c r="F8" s="2" t="s">
        <v>165</v>
      </c>
      <c r="G8" s="2" t="s">
        <v>52</v>
      </c>
      <c r="H8" s="2" t="s">
        <v>52</v>
      </c>
      <c r="I8" s="2" t="s">
        <v>168</v>
      </c>
      <c r="J8" s="2" t="s">
        <v>169</v>
      </c>
      <c r="K8" s="2">
        <v>0</v>
      </c>
      <c r="L8" s="2">
        <v>0</v>
      </c>
      <c r="M8" s="2" t="s">
        <v>172</v>
      </c>
      <c r="N8" s="2" t="s">
        <v>173</v>
      </c>
      <c r="O8" s="2" t="s">
        <v>52</v>
      </c>
      <c r="P8" s="2" t="s">
        <v>52</v>
      </c>
      <c r="Q8" t="e">
        <f t="shared" si="0"/>
        <v>#VALUE!</v>
      </c>
    </row>
    <row r="9" spans="1:17" x14ac:dyDescent="0.35">
      <c r="A9" t="s">
        <v>39</v>
      </c>
      <c r="B9" t="s">
        <v>176</v>
      </c>
      <c r="C9" t="s">
        <v>72</v>
      </c>
      <c r="D9" t="s">
        <v>175</v>
      </c>
      <c r="E9" s="2" t="s">
        <v>165</v>
      </c>
      <c r="F9" s="2" t="s">
        <v>178</v>
      </c>
      <c r="G9" s="2" t="s">
        <v>52</v>
      </c>
      <c r="H9" s="2" t="s">
        <v>52</v>
      </c>
      <c r="I9" s="2" t="s">
        <v>180</v>
      </c>
      <c r="J9" s="2" t="s">
        <v>181</v>
      </c>
      <c r="K9" s="2">
        <v>0</v>
      </c>
      <c r="L9" s="2">
        <v>0</v>
      </c>
      <c r="M9" s="2" t="s">
        <v>183</v>
      </c>
      <c r="N9" s="2" t="s">
        <v>184</v>
      </c>
      <c r="O9" s="2" t="s">
        <v>52</v>
      </c>
      <c r="P9" s="2" t="s">
        <v>52</v>
      </c>
      <c r="Q9" t="e">
        <f t="shared" si="0"/>
        <v>#VALUE!</v>
      </c>
    </row>
    <row r="10" spans="1:17" x14ac:dyDescent="0.35">
      <c r="A10" t="s">
        <v>39</v>
      </c>
      <c r="B10" t="s">
        <v>185</v>
      </c>
      <c r="C10" t="s">
        <v>72</v>
      </c>
      <c r="D10" t="s">
        <v>212</v>
      </c>
      <c r="E10" s="2" t="s">
        <v>191</v>
      </c>
      <c r="F10" s="2" t="s">
        <v>192</v>
      </c>
      <c r="G10" s="2" t="s">
        <v>193</v>
      </c>
      <c r="H10" s="2" t="s">
        <v>194</v>
      </c>
      <c r="I10" s="2" t="s">
        <v>199</v>
      </c>
      <c r="J10" s="2" t="s">
        <v>200</v>
      </c>
      <c r="K10" s="2">
        <v>2.69</v>
      </c>
      <c r="L10" s="2">
        <v>3.07</v>
      </c>
      <c r="M10" s="2" t="s">
        <v>205</v>
      </c>
      <c r="N10" s="2" t="s">
        <v>206</v>
      </c>
      <c r="O10" s="2" t="s">
        <v>207</v>
      </c>
      <c r="P10" s="2" t="s">
        <v>208</v>
      </c>
      <c r="Q10" t="e">
        <f t="shared" si="0"/>
        <v>#VALUE!</v>
      </c>
    </row>
    <row r="11" spans="1:17" x14ac:dyDescent="0.35">
      <c r="A11" t="s">
        <v>39</v>
      </c>
      <c r="B11" t="s">
        <v>213</v>
      </c>
      <c r="C11" t="s">
        <v>72</v>
      </c>
      <c r="D11" t="s">
        <v>117</v>
      </c>
      <c r="E11" s="2" t="s">
        <v>52</v>
      </c>
      <c r="F11" s="2" t="s">
        <v>52</v>
      </c>
      <c r="G11" s="2" t="s">
        <v>52</v>
      </c>
      <c r="H11" s="2" t="s">
        <v>52</v>
      </c>
      <c r="I11" s="2" t="s">
        <v>52</v>
      </c>
      <c r="J11" s="2" t="s">
        <v>52</v>
      </c>
      <c r="K11" s="2">
        <v>0</v>
      </c>
      <c r="L11" s="2">
        <v>0</v>
      </c>
      <c r="M11" s="2" t="s">
        <v>52</v>
      </c>
      <c r="N11" s="2" t="s">
        <v>52</v>
      </c>
      <c r="O11" s="2" t="s">
        <v>52</v>
      </c>
      <c r="P11" s="2" t="s">
        <v>52</v>
      </c>
      <c r="Q11" t="e">
        <f t="shared" si="0"/>
        <v>#VALUE!</v>
      </c>
    </row>
    <row r="12" spans="1:17" x14ac:dyDescent="0.35">
      <c r="A12" t="s">
        <v>39</v>
      </c>
      <c r="B12" t="s">
        <v>219</v>
      </c>
      <c r="C12" t="s">
        <v>72</v>
      </c>
      <c r="D12" t="s">
        <v>117</v>
      </c>
      <c r="E12" s="2" t="s">
        <v>223</v>
      </c>
      <c r="F12" s="2" t="s">
        <v>224</v>
      </c>
      <c r="G12" s="2" t="s">
        <v>225</v>
      </c>
      <c r="H12" s="2" t="s">
        <v>225</v>
      </c>
      <c r="I12" s="2" t="s">
        <v>227</v>
      </c>
      <c r="J12" s="2" t="s">
        <v>226</v>
      </c>
      <c r="K12" s="2">
        <v>0.28000000000000003</v>
      </c>
      <c r="L12" s="2">
        <v>0.28000000000000003</v>
      </c>
      <c r="M12" s="2" t="s">
        <v>229</v>
      </c>
      <c r="N12" s="2" t="s">
        <v>230</v>
      </c>
      <c r="O12" s="2" t="s">
        <v>231</v>
      </c>
      <c r="P12" s="2" t="s">
        <v>231</v>
      </c>
      <c r="Q12" t="e">
        <f t="shared" si="0"/>
        <v>#VALUE!</v>
      </c>
    </row>
    <row r="13" spans="1:17" x14ac:dyDescent="0.35">
      <c r="A13" t="s">
        <v>39</v>
      </c>
      <c r="B13" t="s">
        <v>232</v>
      </c>
      <c r="C13" t="s">
        <v>72</v>
      </c>
      <c r="D13" t="s">
        <v>117</v>
      </c>
      <c r="E13" s="2" t="s">
        <v>223</v>
      </c>
      <c r="F13" s="2" t="s">
        <v>224</v>
      </c>
      <c r="G13" s="2" t="s">
        <v>52</v>
      </c>
      <c r="H13" s="2" t="s">
        <v>235</v>
      </c>
      <c r="I13" s="2" t="s">
        <v>237</v>
      </c>
      <c r="J13" s="2" t="s">
        <v>238</v>
      </c>
      <c r="K13" s="2">
        <v>0</v>
      </c>
      <c r="L13" s="2">
        <v>0.25</v>
      </c>
      <c r="M13" s="2" t="s">
        <v>240</v>
      </c>
      <c r="N13" s="2" t="s">
        <v>241</v>
      </c>
      <c r="O13" s="2" t="s">
        <v>52</v>
      </c>
      <c r="P13" s="2" t="s">
        <v>242</v>
      </c>
      <c r="Q13" t="e">
        <f t="shared" si="0"/>
        <v>#VALUE!</v>
      </c>
    </row>
    <row r="14" spans="1:17" x14ac:dyDescent="0.35">
      <c r="A14" t="s">
        <v>39</v>
      </c>
      <c r="B14" t="s">
        <v>243</v>
      </c>
      <c r="C14" t="s">
        <v>72</v>
      </c>
      <c r="D14" t="s">
        <v>113</v>
      </c>
      <c r="E14" s="2" t="s">
        <v>52</v>
      </c>
      <c r="F14" s="2" t="s">
        <v>52</v>
      </c>
      <c r="G14" s="2" t="s">
        <v>52</v>
      </c>
      <c r="H14" s="2" t="s">
        <v>52</v>
      </c>
      <c r="I14" s="2" t="s">
        <v>52</v>
      </c>
      <c r="J14" s="2" t="s">
        <v>52</v>
      </c>
      <c r="K14" s="2">
        <v>0</v>
      </c>
      <c r="L14" s="2">
        <v>0</v>
      </c>
      <c r="M14" s="2" t="s">
        <v>52</v>
      </c>
      <c r="N14" s="2" t="s">
        <v>52</v>
      </c>
      <c r="O14" s="2" t="s">
        <v>52</v>
      </c>
      <c r="P14" s="2" t="s">
        <v>52</v>
      </c>
      <c r="Q14" t="e">
        <f t="shared" si="0"/>
        <v>#VALUE!</v>
      </c>
    </row>
    <row r="15" spans="1:17" x14ac:dyDescent="0.35">
      <c r="A15" t="s">
        <v>39</v>
      </c>
      <c r="B15" t="s">
        <v>249</v>
      </c>
      <c r="C15" t="s">
        <v>72</v>
      </c>
      <c r="D15" t="s">
        <v>113</v>
      </c>
      <c r="E15" s="2" t="s">
        <v>52</v>
      </c>
      <c r="F15" s="2" t="s">
        <v>52</v>
      </c>
      <c r="G15" s="2" t="s">
        <v>52</v>
      </c>
      <c r="H15" s="2" t="s">
        <v>52</v>
      </c>
      <c r="I15" s="2" t="s">
        <v>52</v>
      </c>
      <c r="J15" s="2" t="s">
        <v>52</v>
      </c>
      <c r="K15" s="2">
        <v>0</v>
      </c>
      <c r="L15" s="2">
        <v>0</v>
      </c>
      <c r="M15" s="2" t="s">
        <v>52</v>
      </c>
      <c r="N15" s="2" t="s">
        <v>52</v>
      </c>
      <c r="O15" s="2" t="s">
        <v>52</v>
      </c>
      <c r="P15" s="2" t="s">
        <v>52</v>
      </c>
      <c r="Q15" t="e">
        <f t="shared" si="0"/>
        <v>#VALUE!</v>
      </c>
    </row>
    <row r="16" spans="1:17" x14ac:dyDescent="0.35">
      <c r="A16" t="s">
        <v>39</v>
      </c>
      <c r="B16" t="s">
        <v>254</v>
      </c>
      <c r="C16" t="s">
        <v>72</v>
      </c>
      <c r="D16" t="s">
        <v>113</v>
      </c>
      <c r="E16" s="2" t="s">
        <v>52</v>
      </c>
      <c r="F16" s="2" t="s">
        <v>52</v>
      </c>
      <c r="G16" s="2" t="s">
        <v>52</v>
      </c>
      <c r="H16" s="2" t="s">
        <v>52</v>
      </c>
      <c r="I16" s="2" t="s">
        <v>52</v>
      </c>
      <c r="J16" s="2" t="s">
        <v>52</v>
      </c>
      <c r="K16" s="2">
        <v>0</v>
      </c>
      <c r="L16" s="2">
        <v>0</v>
      </c>
      <c r="M16" s="2" t="s">
        <v>52</v>
      </c>
      <c r="N16" s="2" t="s">
        <v>52</v>
      </c>
      <c r="O16" s="2" t="s">
        <v>52</v>
      </c>
      <c r="P16" s="2" t="s">
        <v>52</v>
      </c>
      <c r="Q16" t="e">
        <f t="shared" si="0"/>
        <v>#VALUE!</v>
      </c>
    </row>
    <row r="17" spans="1:17" x14ac:dyDescent="0.35">
      <c r="A17" t="s">
        <v>39</v>
      </c>
      <c r="B17" t="s">
        <v>260</v>
      </c>
      <c r="C17" t="s">
        <v>41</v>
      </c>
      <c r="D17" t="s">
        <v>263</v>
      </c>
      <c r="E17" s="2" t="s">
        <v>52</v>
      </c>
      <c r="F17" s="2" t="s">
        <v>52</v>
      </c>
      <c r="G17" s="2" t="s">
        <v>264</v>
      </c>
      <c r="H17" s="2" t="s">
        <v>264</v>
      </c>
      <c r="I17" s="2" t="s">
        <v>52</v>
      </c>
      <c r="J17" s="2" t="s">
        <v>52</v>
      </c>
      <c r="K17" s="2">
        <v>8.86</v>
      </c>
      <c r="L17" s="2">
        <v>8.86</v>
      </c>
      <c r="M17" s="2" t="s">
        <v>52</v>
      </c>
      <c r="N17" s="2" t="s">
        <v>52</v>
      </c>
      <c r="O17" s="2" t="s">
        <v>266</v>
      </c>
      <c r="P17" s="2" t="s">
        <v>266</v>
      </c>
      <c r="Q17" t="e">
        <f t="shared" si="0"/>
        <v>#VALUE!</v>
      </c>
    </row>
    <row r="18" spans="1:17" x14ac:dyDescent="0.35">
      <c r="A18" t="s">
        <v>39</v>
      </c>
      <c r="B18" t="s">
        <v>268</v>
      </c>
      <c r="C18" t="s">
        <v>72</v>
      </c>
      <c r="D18" t="s">
        <v>113</v>
      </c>
      <c r="E18" s="2" t="s">
        <v>52</v>
      </c>
      <c r="F18" s="2" t="s">
        <v>52</v>
      </c>
      <c r="G18" s="2" t="s">
        <v>52</v>
      </c>
      <c r="H18" s="2" t="s">
        <v>52</v>
      </c>
      <c r="I18" s="2" t="s">
        <v>52</v>
      </c>
      <c r="J18" s="2" t="s">
        <v>52</v>
      </c>
      <c r="K18" s="2">
        <v>0</v>
      </c>
      <c r="L18" s="2">
        <v>0</v>
      </c>
      <c r="M18" s="2" t="s">
        <v>52</v>
      </c>
      <c r="N18" s="2" t="s">
        <v>52</v>
      </c>
      <c r="O18" s="2" t="s">
        <v>52</v>
      </c>
      <c r="P18" s="2" t="s">
        <v>52</v>
      </c>
      <c r="Q18" t="e">
        <f t="shared" si="0"/>
        <v>#VALUE!</v>
      </c>
    </row>
    <row r="19" spans="1:17" x14ac:dyDescent="0.35">
      <c r="A19" t="s">
        <v>39</v>
      </c>
      <c r="B19" t="s">
        <v>273</v>
      </c>
      <c r="C19" t="s">
        <v>72</v>
      </c>
      <c r="D19" t="s">
        <v>113</v>
      </c>
      <c r="E19" s="2" t="s">
        <v>52</v>
      </c>
      <c r="F19" s="2" t="s">
        <v>52</v>
      </c>
      <c r="G19" s="2" t="s">
        <v>52</v>
      </c>
      <c r="H19" s="2" t="s">
        <v>52</v>
      </c>
      <c r="I19" s="2" t="s">
        <v>52</v>
      </c>
      <c r="J19" s="2" t="s">
        <v>52</v>
      </c>
      <c r="K19" s="2">
        <v>0</v>
      </c>
      <c r="L19" s="2">
        <v>0</v>
      </c>
      <c r="M19" s="2" t="s">
        <v>52</v>
      </c>
      <c r="N19" s="2" t="s">
        <v>52</v>
      </c>
      <c r="O19" s="2" t="s">
        <v>52</v>
      </c>
      <c r="P19" s="2" t="s">
        <v>52</v>
      </c>
      <c r="Q19" t="e">
        <f t="shared" si="0"/>
        <v>#VALUE!</v>
      </c>
    </row>
    <row r="20" spans="1:17" x14ac:dyDescent="0.35">
      <c r="A20" t="s">
        <v>39</v>
      </c>
      <c r="B20" t="s">
        <v>279</v>
      </c>
      <c r="C20" t="s">
        <v>72</v>
      </c>
      <c r="D20" t="s">
        <v>284</v>
      </c>
      <c r="E20" s="2" t="s">
        <v>286</v>
      </c>
      <c r="F20" s="2" t="s">
        <v>287</v>
      </c>
      <c r="G20" s="2" t="s">
        <v>288</v>
      </c>
      <c r="H20" s="2" t="s">
        <v>288</v>
      </c>
      <c r="I20" s="2" t="s">
        <v>293</v>
      </c>
      <c r="J20" s="2" t="s">
        <v>294</v>
      </c>
      <c r="K20" s="2">
        <v>25.15</v>
      </c>
      <c r="L20" s="2">
        <v>25.15</v>
      </c>
      <c r="M20" s="2" t="s">
        <v>299</v>
      </c>
      <c r="N20" s="2" t="s">
        <v>300</v>
      </c>
      <c r="O20" s="2" t="s">
        <v>301</v>
      </c>
      <c r="P20" s="2" t="s">
        <v>301</v>
      </c>
      <c r="Q20" t="e">
        <f t="shared" si="0"/>
        <v>#VALUE!</v>
      </c>
    </row>
    <row r="21" spans="1:17" x14ac:dyDescent="0.35">
      <c r="A21" t="s">
        <v>39</v>
      </c>
      <c r="B21" t="s">
        <v>305</v>
      </c>
      <c r="C21" t="s">
        <v>72</v>
      </c>
      <c r="D21" t="s">
        <v>117</v>
      </c>
      <c r="E21" s="2" t="s">
        <v>308</v>
      </c>
      <c r="F21" s="2" t="s">
        <v>308</v>
      </c>
      <c r="G21" s="2" t="s">
        <v>309</v>
      </c>
      <c r="H21" s="2" t="s">
        <v>309</v>
      </c>
      <c r="I21" s="2" t="s">
        <v>311</v>
      </c>
      <c r="J21" s="2" t="s">
        <v>311</v>
      </c>
      <c r="K21" s="2">
        <v>0.89</v>
      </c>
      <c r="L21" s="2">
        <v>0.89</v>
      </c>
      <c r="M21" s="2" t="s">
        <v>313</v>
      </c>
      <c r="N21" s="2" t="s">
        <v>313</v>
      </c>
      <c r="O21" s="2" t="s">
        <v>314</v>
      </c>
      <c r="P21" s="2" t="s">
        <v>314</v>
      </c>
      <c r="Q21" t="e">
        <f t="shared" si="0"/>
        <v>#VALUE!</v>
      </c>
    </row>
    <row r="22" spans="1:17" x14ac:dyDescent="0.35">
      <c r="A22" t="s">
        <v>39</v>
      </c>
      <c r="B22" t="s">
        <v>315</v>
      </c>
      <c r="C22" t="s">
        <v>72</v>
      </c>
      <c r="D22" t="s">
        <v>117</v>
      </c>
      <c r="E22" s="2" t="s">
        <v>318</v>
      </c>
      <c r="F22" s="2" t="s">
        <v>319</v>
      </c>
      <c r="G22" s="2" t="s">
        <v>320</v>
      </c>
      <c r="H22" s="2" t="s">
        <v>320</v>
      </c>
      <c r="I22" s="2" t="s">
        <v>323</v>
      </c>
      <c r="J22" s="2" t="s">
        <v>324</v>
      </c>
      <c r="K22" s="2">
        <v>2</v>
      </c>
      <c r="L22" s="2">
        <v>2</v>
      </c>
      <c r="M22" s="2" t="s">
        <v>327</v>
      </c>
      <c r="N22" s="2" t="s">
        <v>328</v>
      </c>
      <c r="O22" s="2" t="s">
        <v>329</v>
      </c>
      <c r="P22" s="2" t="s">
        <v>329</v>
      </c>
      <c r="Q22" t="e">
        <f t="shared" si="0"/>
        <v>#VALUE!</v>
      </c>
    </row>
    <row r="23" spans="1:17" x14ac:dyDescent="0.35">
      <c r="A23" t="s">
        <v>39</v>
      </c>
      <c r="B23" t="s">
        <v>331</v>
      </c>
      <c r="C23" t="s">
        <v>72</v>
      </c>
      <c r="D23" t="s">
        <v>117</v>
      </c>
      <c r="E23" s="2" t="s">
        <v>334</v>
      </c>
      <c r="F23" s="2" t="s">
        <v>335</v>
      </c>
      <c r="G23" s="2" t="s">
        <v>335</v>
      </c>
      <c r="H23" s="2" t="s">
        <v>335</v>
      </c>
      <c r="I23" s="2" t="s">
        <v>271</v>
      </c>
      <c r="J23" s="2" t="s">
        <v>337</v>
      </c>
      <c r="K23" s="2">
        <v>0.38</v>
      </c>
      <c r="L23" s="2">
        <v>0.38</v>
      </c>
      <c r="M23" s="2" t="s">
        <v>339</v>
      </c>
      <c r="N23" s="2" t="s">
        <v>340</v>
      </c>
      <c r="O23" s="2" t="s">
        <v>340</v>
      </c>
      <c r="P23" s="2" t="s">
        <v>340</v>
      </c>
      <c r="Q23" t="e">
        <f t="shared" si="0"/>
        <v>#VALUE!</v>
      </c>
    </row>
    <row r="24" spans="1:17" x14ac:dyDescent="0.35">
      <c r="A24" t="s">
        <v>39</v>
      </c>
      <c r="B24" t="s">
        <v>341</v>
      </c>
      <c r="C24" t="s">
        <v>72</v>
      </c>
      <c r="D24" t="s">
        <v>117</v>
      </c>
      <c r="E24" s="2" t="s">
        <v>344</v>
      </c>
      <c r="F24" s="2" t="s">
        <v>345</v>
      </c>
      <c r="G24" s="2" t="s">
        <v>346</v>
      </c>
      <c r="H24" s="2" t="s">
        <v>346</v>
      </c>
      <c r="I24" s="2" t="s">
        <v>348</v>
      </c>
      <c r="J24" s="2" t="s">
        <v>349</v>
      </c>
      <c r="K24" s="2">
        <v>1.82</v>
      </c>
      <c r="L24" s="2">
        <v>1.82</v>
      </c>
      <c r="M24" s="2" t="s">
        <v>352</v>
      </c>
      <c r="N24" s="2" t="s">
        <v>353</v>
      </c>
      <c r="O24" s="2" t="s">
        <v>354</v>
      </c>
      <c r="P24" s="2" t="s">
        <v>354</v>
      </c>
      <c r="Q24" t="e">
        <f t="shared" si="0"/>
        <v>#VALUE!</v>
      </c>
    </row>
    <row r="25" spans="1:17" x14ac:dyDescent="0.35">
      <c r="A25" t="s">
        <v>39</v>
      </c>
      <c r="B25" t="s">
        <v>356</v>
      </c>
      <c r="C25" t="s">
        <v>72</v>
      </c>
      <c r="D25" t="s">
        <v>361</v>
      </c>
      <c r="E25" s="2" t="s">
        <v>52</v>
      </c>
      <c r="F25" s="2" t="s">
        <v>52</v>
      </c>
      <c r="G25" s="2" t="s">
        <v>52</v>
      </c>
      <c r="H25" s="2" t="s">
        <v>52</v>
      </c>
      <c r="I25" s="2" t="s">
        <v>52</v>
      </c>
      <c r="J25" s="2" t="s">
        <v>52</v>
      </c>
      <c r="K25" s="2">
        <v>0</v>
      </c>
      <c r="L25" s="2">
        <v>0</v>
      </c>
      <c r="M25" s="2" t="s">
        <v>52</v>
      </c>
      <c r="N25" s="2" t="s">
        <v>52</v>
      </c>
      <c r="O25" s="2" t="s">
        <v>52</v>
      </c>
      <c r="P25" s="2" t="s">
        <v>52</v>
      </c>
      <c r="Q25" t="e">
        <f t="shared" si="0"/>
        <v>#VALUE!</v>
      </c>
    </row>
    <row r="26" spans="1:17" x14ac:dyDescent="0.35">
      <c r="A26" t="s">
        <v>39</v>
      </c>
      <c r="B26" t="s">
        <v>362</v>
      </c>
      <c r="C26" t="s">
        <v>72</v>
      </c>
      <c r="D26" t="s">
        <v>361</v>
      </c>
      <c r="E26" s="2" t="s">
        <v>52</v>
      </c>
      <c r="F26" s="2" t="s">
        <v>52</v>
      </c>
      <c r="G26" s="2" t="s">
        <v>52</v>
      </c>
      <c r="H26" s="2" t="s">
        <v>52</v>
      </c>
      <c r="I26" s="2" t="s">
        <v>52</v>
      </c>
      <c r="J26" s="2" t="s">
        <v>52</v>
      </c>
      <c r="K26" s="2">
        <v>0</v>
      </c>
      <c r="L26" s="2">
        <v>0</v>
      </c>
      <c r="M26" s="2" t="s">
        <v>52</v>
      </c>
      <c r="N26" s="2" t="s">
        <v>52</v>
      </c>
      <c r="O26" s="2" t="s">
        <v>52</v>
      </c>
      <c r="P26" s="2" t="s">
        <v>52</v>
      </c>
      <c r="Q26" t="e">
        <f t="shared" si="0"/>
        <v>#VALUE!</v>
      </c>
    </row>
    <row r="27" spans="1:17" x14ac:dyDescent="0.35">
      <c r="A27" t="s">
        <v>39</v>
      </c>
      <c r="B27" t="s">
        <v>365</v>
      </c>
      <c r="C27" t="s">
        <v>72</v>
      </c>
      <c r="D27" t="s">
        <v>361</v>
      </c>
      <c r="E27" s="2" t="s">
        <v>52</v>
      </c>
      <c r="F27" s="2" t="s">
        <v>52</v>
      </c>
      <c r="G27" s="2" t="s">
        <v>52</v>
      </c>
      <c r="H27" s="2" t="s">
        <v>52</v>
      </c>
      <c r="I27" s="2" t="s">
        <v>52</v>
      </c>
      <c r="J27" s="2" t="s">
        <v>52</v>
      </c>
      <c r="K27" s="2">
        <v>0</v>
      </c>
      <c r="L27" s="2">
        <v>0</v>
      </c>
      <c r="M27" s="2" t="s">
        <v>52</v>
      </c>
      <c r="N27" s="2" t="s">
        <v>52</v>
      </c>
      <c r="O27" s="2" t="s">
        <v>52</v>
      </c>
      <c r="P27" s="2" t="s">
        <v>52</v>
      </c>
      <c r="Q27" t="e">
        <f t="shared" si="0"/>
        <v>#VALUE!</v>
      </c>
    </row>
    <row r="28" spans="1:17" x14ac:dyDescent="0.35">
      <c r="A28" t="s">
        <v>39</v>
      </c>
      <c r="B28" t="s">
        <v>368</v>
      </c>
      <c r="C28" t="s">
        <v>72</v>
      </c>
      <c r="D28" t="s">
        <v>361</v>
      </c>
      <c r="E28" s="2" t="s">
        <v>52</v>
      </c>
      <c r="F28" s="2" t="s">
        <v>52</v>
      </c>
      <c r="G28" s="2" t="s">
        <v>52</v>
      </c>
      <c r="H28" s="2" t="s">
        <v>52</v>
      </c>
      <c r="I28" s="2" t="s">
        <v>52</v>
      </c>
      <c r="J28" s="2" t="s">
        <v>52</v>
      </c>
      <c r="K28" s="2">
        <v>0</v>
      </c>
      <c r="L28" s="2">
        <v>0</v>
      </c>
      <c r="M28" s="2" t="s">
        <v>52</v>
      </c>
      <c r="N28" s="2" t="s">
        <v>52</v>
      </c>
      <c r="O28" s="2" t="s">
        <v>52</v>
      </c>
      <c r="P28" s="2" t="s">
        <v>52</v>
      </c>
      <c r="Q28" t="e">
        <f t="shared" si="0"/>
        <v>#VALUE!</v>
      </c>
    </row>
    <row r="29" spans="1:17" x14ac:dyDescent="0.35">
      <c r="A29" t="s">
        <v>39</v>
      </c>
      <c r="B29" t="s">
        <v>370</v>
      </c>
      <c r="C29" t="s">
        <v>72</v>
      </c>
      <c r="D29" t="s">
        <v>361</v>
      </c>
      <c r="E29" s="2" t="s">
        <v>52</v>
      </c>
      <c r="F29" s="2" t="s">
        <v>52</v>
      </c>
      <c r="G29" s="2" t="s">
        <v>52</v>
      </c>
      <c r="H29" s="2" t="s">
        <v>52</v>
      </c>
      <c r="I29" s="2" t="s">
        <v>52</v>
      </c>
      <c r="J29" s="2" t="s">
        <v>52</v>
      </c>
      <c r="K29" s="2">
        <v>0</v>
      </c>
      <c r="L29" s="2">
        <v>0</v>
      </c>
      <c r="M29" s="2" t="s">
        <v>52</v>
      </c>
      <c r="N29" s="2" t="s">
        <v>52</v>
      </c>
      <c r="O29" s="2" t="s">
        <v>52</v>
      </c>
      <c r="P29" s="2" t="s">
        <v>52</v>
      </c>
      <c r="Q29" t="e">
        <f t="shared" si="0"/>
        <v>#VALUE!</v>
      </c>
    </row>
    <row r="30" spans="1:17" x14ac:dyDescent="0.35">
      <c r="A30" t="s">
        <v>39</v>
      </c>
      <c r="B30" t="s">
        <v>375</v>
      </c>
      <c r="C30" t="s">
        <v>72</v>
      </c>
      <c r="D30" t="s">
        <v>361</v>
      </c>
      <c r="E30" s="2" t="s">
        <v>52</v>
      </c>
      <c r="F30" s="2" t="s">
        <v>52</v>
      </c>
      <c r="G30" s="2" t="s">
        <v>52</v>
      </c>
      <c r="H30" s="2" t="s">
        <v>52</v>
      </c>
      <c r="I30" s="2" t="s">
        <v>52</v>
      </c>
      <c r="J30" s="2" t="s">
        <v>52</v>
      </c>
      <c r="K30" s="2">
        <v>0</v>
      </c>
      <c r="L30" s="2">
        <v>0</v>
      </c>
      <c r="M30" s="2" t="s">
        <v>52</v>
      </c>
      <c r="N30" s="2" t="s">
        <v>52</v>
      </c>
      <c r="O30" s="2" t="s">
        <v>52</v>
      </c>
      <c r="P30" s="2" t="s">
        <v>52</v>
      </c>
      <c r="Q30" t="e">
        <f t="shared" si="0"/>
        <v>#VALUE!</v>
      </c>
    </row>
    <row r="31" spans="1:17" x14ac:dyDescent="0.35">
      <c r="A31" t="s">
        <v>39</v>
      </c>
      <c r="B31" t="s">
        <v>378</v>
      </c>
      <c r="C31" t="s">
        <v>72</v>
      </c>
      <c r="D31" t="s">
        <v>361</v>
      </c>
      <c r="E31" s="2" t="s">
        <v>381</v>
      </c>
      <c r="F31" s="2" t="s">
        <v>382</v>
      </c>
      <c r="G31" s="2" t="s">
        <v>383</v>
      </c>
      <c r="H31" s="2" t="s">
        <v>384</v>
      </c>
      <c r="I31" s="2" t="s">
        <v>252</v>
      </c>
      <c r="J31" s="2" t="s">
        <v>387</v>
      </c>
      <c r="K31" s="2">
        <v>15.99</v>
      </c>
      <c r="L31" s="2">
        <v>14.72</v>
      </c>
      <c r="M31" s="2" t="s">
        <v>390</v>
      </c>
      <c r="N31" s="2" t="s">
        <v>391</v>
      </c>
      <c r="O31" s="2" t="s">
        <v>392</v>
      </c>
      <c r="P31" s="2" t="s">
        <v>393</v>
      </c>
      <c r="Q31" t="e">
        <f t="shared" si="0"/>
        <v>#VALUE!</v>
      </c>
    </row>
    <row r="32" spans="1:17" x14ac:dyDescent="0.35">
      <c r="A32" t="s">
        <v>39</v>
      </c>
      <c r="B32" t="s">
        <v>395</v>
      </c>
      <c r="C32" t="s">
        <v>72</v>
      </c>
      <c r="D32" t="s">
        <v>361</v>
      </c>
      <c r="E32" s="2" t="s">
        <v>52</v>
      </c>
      <c r="F32" s="2" t="s">
        <v>52</v>
      </c>
      <c r="G32" s="2" t="s">
        <v>52</v>
      </c>
      <c r="H32" s="2" t="s">
        <v>52</v>
      </c>
      <c r="I32" s="2" t="s">
        <v>52</v>
      </c>
      <c r="J32" s="2" t="s">
        <v>52</v>
      </c>
      <c r="K32" s="2">
        <v>0</v>
      </c>
      <c r="L32" s="2">
        <v>0</v>
      </c>
      <c r="M32" s="2" t="s">
        <v>52</v>
      </c>
      <c r="N32" s="2" t="s">
        <v>52</v>
      </c>
      <c r="O32" s="2" t="s">
        <v>52</v>
      </c>
      <c r="P32" s="2" t="s">
        <v>52</v>
      </c>
      <c r="Q32" t="e">
        <f t="shared" si="0"/>
        <v>#VALUE!</v>
      </c>
    </row>
    <row r="33" spans="1:17" x14ac:dyDescent="0.35">
      <c r="A33" t="s">
        <v>39</v>
      </c>
      <c r="B33" t="s">
        <v>398</v>
      </c>
      <c r="C33" t="s">
        <v>72</v>
      </c>
      <c r="D33" t="s">
        <v>361</v>
      </c>
      <c r="E33" s="2" t="s">
        <v>52</v>
      </c>
      <c r="F33" s="2" t="s">
        <v>52</v>
      </c>
      <c r="G33" s="2" t="s">
        <v>52</v>
      </c>
      <c r="H33" s="2" t="s">
        <v>52</v>
      </c>
      <c r="I33" s="2" t="s">
        <v>52</v>
      </c>
      <c r="J33" s="2" t="s">
        <v>52</v>
      </c>
      <c r="K33" s="2">
        <v>0</v>
      </c>
      <c r="L33" s="2">
        <v>0</v>
      </c>
      <c r="M33" s="2" t="s">
        <v>52</v>
      </c>
      <c r="N33" s="2" t="s">
        <v>52</v>
      </c>
      <c r="O33" s="2" t="s">
        <v>52</v>
      </c>
      <c r="P33" s="2" t="s">
        <v>52</v>
      </c>
      <c r="Q33" t="e">
        <f t="shared" si="0"/>
        <v>#VALUE!</v>
      </c>
    </row>
    <row r="34" spans="1:17" x14ac:dyDescent="0.35">
      <c r="A34" t="s">
        <v>39</v>
      </c>
      <c r="B34" t="s">
        <v>400</v>
      </c>
      <c r="C34" t="s">
        <v>72</v>
      </c>
      <c r="D34" t="s">
        <v>361</v>
      </c>
      <c r="E34" s="2" t="s">
        <v>52</v>
      </c>
      <c r="F34" s="2" t="s">
        <v>52</v>
      </c>
      <c r="G34" s="2" t="s">
        <v>52</v>
      </c>
      <c r="H34" s="2" t="s">
        <v>52</v>
      </c>
      <c r="I34" s="2" t="s">
        <v>52</v>
      </c>
      <c r="J34" s="2" t="s">
        <v>52</v>
      </c>
      <c r="K34" s="2">
        <v>0</v>
      </c>
      <c r="L34" s="2">
        <v>0</v>
      </c>
      <c r="M34" s="2" t="s">
        <v>52</v>
      </c>
      <c r="N34" s="2" t="s">
        <v>52</v>
      </c>
      <c r="O34" s="2" t="s">
        <v>52</v>
      </c>
      <c r="P34" s="2" t="s">
        <v>52</v>
      </c>
      <c r="Q34" t="e">
        <f t="shared" si="0"/>
        <v>#VALUE!</v>
      </c>
    </row>
    <row r="35" spans="1:17" x14ac:dyDescent="0.35">
      <c r="A35" t="s">
        <v>39</v>
      </c>
      <c r="B35" t="s">
        <v>402</v>
      </c>
      <c r="C35" t="s">
        <v>72</v>
      </c>
      <c r="D35" t="s">
        <v>361</v>
      </c>
      <c r="E35" s="2" t="s">
        <v>52</v>
      </c>
      <c r="F35" s="2" t="s">
        <v>52</v>
      </c>
      <c r="G35" s="2" t="s">
        <v>52</v>
      </c>
      <c r="H35" s="2" t="s">
        <v>52</v>
      </c>
      <c r="I35" s="2" t="s">
        <v>52</v>
      </c>
      <c r="J35" s="2" t="s">
        <v>52</v>
      </c>
      <c r="K35" s="2">
        <v>0</v>
      </c>
      <c r="L35" s="2">
        <v>0</v>
      </c>
      <c r="M35" s="2" t="s">
        <v>52</v>
      </c>
      <c r="N35" s="2" t="s">
        <v>52</v>
      </c>
      <c r="O35" s="2" t="s">
        <v>52</v>
      </c>
      <c r="P35" s="2" t="s">
        <v>52</v>
      </c>
      <c r="Q35" t="e">
        <f t="shared" si="0"/>
        <v>#VALUE!</v>
      </c>
    </row>
    <row r="36" spans="1:17" x14ac:dyDescent="0.35">
      <c r="A36" t="s">
        <v>39</v>
      </c>
      <c r="B36" t="s">
        <v>404</v>
      </c>
      <c r="C36" t="s">
        <v>72</v>
      </c>
      <c r="D36" t="s">
        <v>361</v>
      </c>
      <c r="E36" s="2" t="s">
        <v>52</v>
      </c>
      <c r="F36" s="2" t="s">
        <v>52</v>
      </c>
      <c r="G36" s="2" t="s">
        <v>52</v>
      </c>
      <c r="H36" s="2" t="s">
        <v>52</v>
      </c>
      <c r="I36" s="2" t="s">
        <v>52</v>
      </c>
      <c r="J36" s="2" t="s">
        <v>52</v>
      </c>
      <c r="K36" s="2">
        <v>0</v>
      </c>
      <c r="L36" s="2">
        <v>0</v>
      </c>
      <c r="M36" s="2" t="s">
        <v>52</v>
      </c>
      <c r="N36" s="2" t="s">
        <v>52</v>
      </c>
      <c r="O36" s="2" t="s">
        <v>52</v>
      </c>
      <c r="P36" s="2" t="s">
        <v>52</v>
      </c>
      <c r="Q36" t="e">
        <f t="shared" si="0"/>
        <v>#VALUE!</v>
      </c>
    </row>
    <row r="37" spans="1:17" x14ac:dyDescent="0.35">
      <c r="A37" t="s">
        <v>39</v>
      </c>
      <c r="B37" t="s">
        <v>406</v>
      </c>
      <c r="C37" t="s">
        <v>72</v>
      </c>
      <c r="D37" t="s">
        <v>361</v>
      </c>
      <c r="E37" s="2" t="s">
        <v>409</v>
      </c>
      <c r="F37" s="2" t="s">
        <v>410</v>
      </c>
      <c r="G37" s="2" t="s">
        <v>411</v>
      </c>
      <c r="H37" s="2" t="s">
        <v>411</v>
      </c>
      <c r="I37" s="2" t="s">
        <v>415</v>
      </c>
      <c r="J37" s="2" t="s">
        <v>416</v>
      </c>
      <c r="K37" s="2">
        <v>36.79</v>
      </c>
      <c r="L37" s="2">
        <v>36.79</v>
      </c>
      <c r="M37" s="2" t="s">
        <v>420</v>
      </c>
      <c r="N37" s="2" t="s">
        <v>421</v>
      </c>
      <c r="O37" s="2" t="s">
        <v>422</v>
      </c>
      <c r="P37" s="2" t="s">
        <v>422</v>
      </c>
      <c r="Q37" t="e">
        <f t="shared" si="0"/>
        <v>#VALUE!</v>
      </c>
    </row>
    <row r="38" spans="1:17" x14ac:dyDescent="0.35">
      <c r="A38" t="s">
        <v>39</v>
      </c>
      <c r="B38" t="s">
        <v>425</v>
      </c>
      <c r="C38" t="s">
        <v>72</v>
      </c>
      <c r="D38" t="s">
        <v>361</v>
      </c>
      <c r="E38" s="2" t="s">
        <v>429</v>
      </c>
      <c r="F38" s="2" t="s">
        <v>430</v>
      </c>
      <c r="G38" s="2" t="s">
        <v>431</v>
      </c>
      <c r="H38" s="2" t="s">
        <v>431</v>
      </c>
      <c r="I38" s="2" t="s">
        <v>435</v>
      </c>
      <c r="J38" s="2" t="s">
        <v>436</v>
      </c>
      <c r="K38" s="2">
        <v>16.84</v>
      </c>
      <c r="L38" s="2">
        <v>16.84</v>
      </c>
      <c r="M38" s="2" t="s">
        <v>440</v>
      </c>
      <c r="N38" s="2" t="s">
        <v>441</v>
      </c>
      <c r="O38" s="2" t="s">
        <v>442</v>
      </c>
      <c r="P38" s="2" t="s">
        <v>442</v>
      </c>
      <c r="Q38" t="e">
        <f t="shared" si="0"/>
        <v>#VALUE!</v>
      </c>
    </row>
    <row r="39" spans="1:17" x14ac:dyDescent="0.35">
      <c r="A39" t="s">
        <v>39</v>
      </c>
      <c r="B39" t="s">
        <v>445</v>
      </c>
      <c r="C39" t="s">
        <v>72</v>
      </c>
      <c r="D39" t="s">
        <v>361</v>
      </c>
      <c r="E39" s="2" t="s">
        <v>52</v>
      </c>
      <c r="F39" s="2" t="s">
        <v>52</v>
      </c>
      <c r="G39" s="2" t="s">
        <v>52</v>
      </c>
      <c r="H39" s="2" t="s">
        <v>52</v>
      </c>
      <c r="I39" s="2" t="s">
        <v>52</v>
      </c>
      <c r="J39" s="2" t="s">
        <v>52</v>
      </c>
      <c r="K39" s="2">
        <v>0</v>
      </c>
      <c r="L39" s="2">
        <v>0</v>
      </c>
      <c r="M39" s="2" t="s">
        <v>52</v>
      </c>
      <c r="N39" s="2" t="s">
        <v>52</v>
      </c>
      <c r="O39" s="2" t="s">
        <v>52</v>
      </c>
      <c r="P39" s="2" t="s">
        <v>52</v>
      </c>
      <c r="Q39" t="e">
        <f t="shared" si="0"/>
        <v>#VALUE!</v>
      </c>
    </row>
    <row r="40" spans="1:17" x14ac:dyDescent="0.35">
      <c r="A40" t="s">
        <v>39</v>
      </c>
      <c r="B40" t="s">
        <v>447</v>
      </c>
      <c r="C40" t="s">
        <v>72</v>
      </c>
      <c r="D40" t="s">
        <v>361</v>
      </c>
      <c r="E40" s="2" t="s">
        <v>450</v>
      </c>
      <c r="F40" s="2" t="s">
        <v>451</v>
      </c>
      <c r="G40" s="2" t="s">
        <v>452</v>
      </c>
      <c r="H40" s="2" t="s">
        <v>453</v>
      </c>
      <c r="I40" s="2" t="s">
        <v>456</v>
      </c>
      <c r="J40" s="2" t="s">
        <v>457</v>
      </c>
      <c r="K40" s="2">
        <v>6.18</v>
      </c>
      <c r="L40" s="2">
        <v>4.58</v>
      </c>
      <c r="M40" s="2" t="s">
        <v>461</v>
      </c>
      <c r="N40" s="2" t="s">
        <v>462</v>
      </c>
      <c r="O40" s="2" t="s">
        <v>463</v>
      </c>
      <c r="P40" s="2" t="s">
        <v>464</v>
      </c>
      <c r="Q40" t="e">
        <f t="shared" si="0"/>
        <v>#VALUE!</v>
      </c>
    </row>
    <row r="41" spans="1:17" x14ac:dyDescent="0.35">
      <c r="A41" t="s">
        <v>39</v>
      </c>
      <c r="B41" t="s">
        <v>467</v>
      </c>
      <c r="C41" t="s">
        <v>72</v>
      </c>
      <c r="D41" t="s">
        <v>361</v>
      </c>
      <c r="E41" s="2" t="s">
        <v>471</v>
      </c>
      <c r="F41" s="2" t="s">
        <v>472</v>
      </c>
      <c r="G41" s="2" t="s">
        <v>473</v>
      </c>
      <c r="H41" s="2" t="s">
        <v>474</v>
      </c>
      <c r="I41" s="2" t="s">
        <v>477</v>
      </c>
      <c r="J41" s="2" t="s">
        <v>478</v>
      </c>
      <c r="K41" s="2">
        <v>8.9</v>
      </c>
      <c r="L41" s="2">
        <v>9.5</v>
      </c>
      <c r="M41" s="2" t="s">
        <v>481</v>
      </c>
      <c r="N41" s="2" t="s">
        <v>482</v>
      </c>
      <c r="O41" s="2" t="s">
        <v>483</v>
      </c>
      <c r="P41" s="2" t="s">
        <v>484</v>
      </c>
      <c r="Q41" t="e">
        <f t="shared" si="0"/>
        <v>#VALUE!</v>
      </c>
    </row>
    <row r="42" spans="1:17" x14ac:dyDescent="0.35">
      <c r="A42" t="s">
        <v>39</v>
      </c>
      <c r="B42" t="s">
        <v>486</v>
      </c>
      <c r="C42" t="s">
        <v>72</v>
      </c>
      <c r="D42" t="s">
        <v>361</v>
      </c>
      <c r="E42" s="2" t="s">
        <v>52</v>
      </c>
      <c r="F42" s="2" t="s">
        <v>52</v>
      </c>
      <c r="G42" s="2" t="s">
        <v>52</v>
      </c>
      <c r="H42" s="2" t="s">
        <v>52</v>
      </c>
      <c r="I42" s="2" t="s">
        <v>52</v>
      </c>
      <c r="J42" s="2" t="s">
        <v>52</v>
      </c>
      <c r="K42" s="2">
        <v>0</v>
      </c>
      <c r="L42" s="2">
        <v>0</v>
      </c>
      <c r="M42" s="2" t="s">
        <v>52</v>
      </c>
      <c r="N42" s="2" t="s">
        <v>52</v>
      </c>
      <c r="O42" s="2" t="s">
        <v>52</v>
      </c>
      <c r="P42" s="2" t="s">
        <v>52</v>
      </c>
      <c r="Q42" t="e">
        <f t="shared" si="0"/>
        <v>#VALUE!</v>
      </c>
    </row>
    <row r="43" spans="1:17" x14ac:dyDescent="0.35">
      <c r="A43" t="s">
        <v>39</v>
      </c>
      <c r="B43" t="s">
        <v>491</v>
      </c>
      <c r="C43" t="s">
        <v>72</v>
      </c>
      <c r="D43" t="s">
        <v>361</v>
      </c>
      <c r="E43" s="2" t="s">
        <v>52</v>
      </c>
      <c r="F43" s="2" t="s">
        <v>52</v>
      </c>
      <c r="G43" s="2" t="s">
        <v>52</v>
      </c>
      <c r="H43" s="2" t="s">
        <v>52</v>
      </c>
      <c r="I43" s="2" t="s">
        <v>52</v>
      </c>
      <c r="J43" s="2" t="s">
        <v>52</v>
      </c>
      <c r="K43" s="2">
        <v>0</v>
      </c>
      <c r="L43" s="2">
        <v>0</v>
      </c>
      <c r="M43" s="2" t="s">
        <v>52</v>
      </c>
      <c r="N43" s="2" t="s">
        <v>52</v>
      </c>
      <c r="O43" s="2" t="s">
        <v>52</v>
      </c>
      <c r="P43" s="2" t="s">
        <v>52</v>
      </c>
      <c r="Q43" t="e">
        <f t="shared" si="0"/>
        <v>#VALUE!</v>
      </c>
    </row>
    <row r="44" spans="1:17" x14ac:dyDescent="0.35">
      <c r="A44" t="s">
        <v>39</v>
      </c>
      <c r="B44" t="s">
        <v>493</v>
      </c>
      <c r="C44" t="s">
        <v>72</v>
      </c>
      <c r="D44" t="s">
        <v>361</v>
      </c>
      <c r="E44" s="2" t="s">
        <v>496</v>
      </c>
      <c r="F44" s="2" t="s">
        <v>497</v>
      </c>
      <c r="G44" s="2" t="s">
        <v>498</v>
      </c>
      <c r="H44" s="2" t="s">
        <v>498</v>
      </c>
      <c r="I44" s="2" t="s">
        <v>502</v>
      </c>
      <c r="J44" s="2" t="s">
        <v>503</v>
      </c>
      <c r="K44" s="2">
        <v>6.86</v>
      </c>
      <c r="L44" s="2">
        <v>6.86</v>
      </c>
      <c r="M44" s="2" t="s">
        <v>507</v>
      </c>
      <c r="N44" s="2" t="s">
        <v>508</v>
      </c>
      <c r="O44" s="2" t="s">
        <v>509</v>
      </c>
      <c r="P44" s="2" t="s">
        <v>509</v>
      </c>
      <c r="Q44" t="e">
        <f t="shared" si="0"/>
        <v>#VALUE!</v>
      </c>
    </row>
    <row r="45" spans="1:17" x14ac:dyDescent="0.35">
      <c r="A45" t="s">
        <v>39</v>
      </c>
      <c r="B45" t="s">
        <v>512</v>
      </c>
      <c r="C45" t="s">
        <v>72</v>
      </c>
      <c r="D45" t="s">
        <v>528</v>
      </c>
      <c r="E45" s="2" t="s">
        <v>518</v>
      </c>
      <c r="F45" s="2" t="s">
        <v>519</v>
      </c>
      <c r="G45" s="2" t="s">
        <v>520</v>
      </c>
      <c r="H45" s="2" t="s">
        <v>52</v>
      </c>
      <c r="I45" s="2" t="s">
        <v>522</v>
      </c>
      <c r="J45" s="2" t="s">
        <v>523</v>
      </c>
      <c r="K45" s="2">
        <v>5.2</v>
      </c>
      <c r="L45" s="2">
        <v>0</v>
      </c>
      <c r="M45" s="2" t="s">
        <v>525</v>
      </c>
      <c r="N45" s="2" t="s">
        <v>526</v>
      </c>
      <c r="O45" s="2" t="s">
        <v>527</v>
      </c>
      <c r="P45" s="2" t="s">
        <v>52</v>
      </c>
      <c r="Q45" t="e">
        <f t="shared" si="0"/>
        <v>#VALUE!</v>
      </c>
    </row>
    <row r="46" spans="1:17" x14ac:dyDescent="0.35">
      <c r="A46" t="s">
        <v>39</v>
      </c>
      <c r="B46" t="s">
        <v>529</v>
      </c>
      <c r="C46" t="s">
        <v>72</v>
      </c>
      <c r="D46" t="s">
        <v>528</v>
      </c>
      <c r="E46" s="2" t="s">
        <v>532</v>
      </c>
      <c r="F46" s="2" t="s">
        <v>533</v>
      </c>
      <c r="G46" s="2" t="s">
        <v>534</v>
      </c>
      <c r="H46" s="2" t="s">
        <v>52</v>
      </c>
      <c r="I46" s="2" t="s">
        <v>536</v>
      </c>
      <c r="J46" s="2" t="s">
        <v>127</v>
      </c>
      <c r="K46" s="2">
        <v>4.57</v>
      </c>
      <c r="L46" s="2">
        <v>0</v>
      </c>
      <c r="M46" s="2" t="s">
        <v>538</v>
      </c>
      <c r="N46" s="2" t="s">
        <v>539</v>
      </c>
      <c r="O46" s="2" t="s">
        <v>540</v>
      </c>
      <c r="P46" s="2" t="s">
        <v>52</v>
      </c>
      <c r="Q46" t="e">
        <f t="shared" si="0"/>
        <v>#VALUE!</v>
      </c>
    </row>
    <row r="47" spans="1:17" x14ac:dyDescent="0.35">
      <c r="A47" t="s">
        <v>39</v>
      </c>
      <c r="B47" t="s">
        <v>541</v>
      </c>
      <c r="C47" t="s">
        <v>72</v>
      </c>
      <c r="D47" t="s">
        <v>361</v>
      </c>
      <c r="E47" s="2" t="s">
        <v>544</v>
      </c>
      <c r="F47" s="2" t="s">
        <v>545</v>
      </c>
      <c r="G47" s="2" t="s">
        <v>546</v>
      </c>
      <c r="H47" s="2" t="s">
        <v>546</v>
      </c>
      <c r="I47" s="2" t="s">
        <v>547</v>
      </c>
      <c r="J47" s="2" t="s">
        <v>548</v>
      </c>
      <c r="K47" s="2">
        <v>0.23</v>
      </c>
      <c r="L47" s="2">
        <v>0.23</v>
      </c>
      <c r="M47" s="2" t="s">
        <v>549</v>
      </c>
      <c r="N47" s="2" t="s">
        <v>550</v>
      </c>
      <c r="O47" s="2" t="s">
        <v>242</v>
      </c>
      <c r="P47" s="2" t="s">
        <v>242</v>
      </c>
      <c r="Q47" t="e">
        <f t="shared" si="0"/>
        <v>#VALUE!</v>
      </c>
    </row>
    <row r="48" spans="1:17" x14ac:dyDescent="0.35">
      <c r="A48" t="s">
        <v>39</v>
      </c>
      <c r="B48" t="s">
        <v>551</v>
      </c>
      <c r="C48" t="s">
        <v>72</v>
      </c>
      <c r="D48" t="s">
        <v>555</v>
      </c>
      <c r="E48" s="2" t="s">
        <v>559</v>
      </c>
      <c r="F48" s="2" t="s">
        <v>559</v>
      </c>
      <c r="G48" s="2" t="s">
        <v>559</v>
      </c>
      <c r="H48" s="2" t="s">
        <v>559</v>
      </c>
      <c r="I48" s="2" t="s">
        <v>237</v>
      </c>
      <c r="J48" s="2" t="s">
        <v>237</v>
      </c>
      <c r="K48" s="2">
        <v>0.54</v>
      </c>
      <c r="L48" s="2">
        <v>0.54</v>
      </c>
      <c r="M48" s="2" t="s">
        <v>564</v>
      </c>
      <c r="N48" s="2" t="s">
        <v>564</v>
      </c>
      <c r="O48" s="2" t="s">
        <v>564</v>
      </c>
      <c r="P48" s="2" t="s">
        <v>564</v>
      </c>
      <c r="Q48" t="e">
        <f t="shared" si="0"/>
        <v>#VALUE!</v>
      </c>
    </row>
    <row r="49" spans="1:17" x14ac:dyDescent="0.35">
      <c r="A49" t="s">
        <v>39</v>
      </c>
      <c r="B49" t="s">
        <v>566</v>
      </c>
      <c r="C49" t="s">
        <v>72</v>
      </c>
      <c r="D49" t="s">
        <v>555</v>
      </c>
      <c r="E49" s="2" t="s">
        <v>135</v>
      </c>
      <c r="F49" s="2" t="s">
        <v>135</v>
      </c>
      <c r="G49" s="2" t="s">
        <v>570</v>
      </c>
      <c r="H49" s="2" t="s">
        <v>570</v>
      </c>
      <c r="I49" s="2" t="s">
        <v>574</v>
      </c>
      <c r="J49" s="2" t="s">
        <v>574</v>
      </c>
      <c r="K49" s="2">
        <v>2.77</v>
      </c>
      <c r="L49" s="2">
        <v>2.77</v>
      </c>
      <c r="M49" s="2" t="s">
        <v>577</v>
      </c>
      <c r="N49" s="2" t="s">
        <v>577</v>
      </c>
      <c r="O49" s="2" t="s">
        <v>578</v>
      </c>
      <c r="P49" s="2" t="s">
        <v>578</v>
      </c>
      <c r="Q49" t="e">
        <f t="shared" si="0"/>
        <v>#VALUE!</v>
      </c>
    </row>
    <row r="50" spans="1:17" x14ac:dyDescent="0.35">
      <c r="A50" t="s">
        <v>39</v>
      </c>
      <c r="B50" t="s">
        <v>581</v>
      </c>
      <c r="C50" t="s">
        <v>72</v>
      </c>
      <c r="D50" t="s">
        <v>555</v>
      </c>
      <c r="E50" s="2" t="s">
        <v>584</v>
      </c>
      <c r="F50" s="2" t="s">
        <v>585</v>
      </c>
      <c r="G50" s="2" t="s">
        <v>586</v>
      </c>
      <c r="H50" s="2" t="s">
        <v>586</v>
      </c>
      <c r="I50" s="2" t="s">
        <v>591</v>
      </c>
      <c r="J50" s="2" t="s">
        <v>592</v>
      </c>
      <c r="K50" s="2">
        <v>6.26</v>
      </c>
      <c r="L50" s="2">
        <v>6.26</v>
      </c>
      <c r="M50" s="2" t="s">
        <v>597</v>
      </c>
      <c r="N50" s="2" t="s">
        <v>598</v>
      </c>
      <c r="O50" s="2" t="s">
        <v>599</v>
      </c>
      <c r="P50" s="2" t="s">
        <v>599</v>
      </c>
      <c r="Q50" t="e">
        <f t="shared" si="0"/>
        <v>#VALUE!</v>
      </c>
    </row>
    <row r="51" spans="1:17" x14ac:dyDescent="0.35">
      <c r="A51" t="s">
        <v>39</v>
      </c>
      <c r="B51" t="s">
        <v>603</v>
      </c>
      <c r="C51" t="s">
        <v>72</v>
      </c>
      <c r="D51" t="s">
        <v>555</v>
      </c>
      <c r="E51" s="2" t="s">
        <v>606</v>
      </c>
      <c r="F51" s="2" t="s">
        <v>607</v>
      </c>
      <c r="G51" s="2" t="s">
        <v>608</v>
      </c>
      <c r="H51" s="2" t="s">
        <v>608</v>
      </c>
      <c r="I51" s="2" t="s">
        <v>612</v>
      </c>
      <c r="J51" s="2" t="s">
        <v>613</v>
      </c>
      <c r="K51" s="2">
        <v>4.1900000000000004</v>
      </c>
      <c r="L51" s="2">
        <v>4.1900000000000004</v>
      </c>
      <c r="M51" s="2" t="s">
        <v>617</v>
      </c>
      <c r="N51" s="2" t="s">
        <v>618</v>
      </c>
      <c r="O51" s="2" t="s">
        <v>619</v>
      </c>
      <c r="P51" s="2" t="s">
        <v>619</v>
      </c>
      <c r="Q51" t="e">
        <f t="shared" si="0"/>
        <v>#VALUE!</v>
      </c>
    </row>
    <row r="52" spans="1:17" x14ac:dyDescent="0.35">
      <c r="A52" t="s">
        <v>39</v>
      </c>
      <c r="B52" t="s">
        <v>622</v>
      </c>
      <c r="C52" t="s">
        <v>72</v>
      </c>
      <c r="D52" t="s">
        <v>555</v>
      </c>
      <c r="E52" s="2" t="s">
        <v>52</v>
      </c>
      <c r="F52" s="2" t="s">
        <v>52</v>
      </c>
      <c r="G52" s="2" t="s">
        <v>52</v>
      </c>
      <c r="H52" s="2" t="s">
        <v>52</v>
      </c>
      <c r="I52" s="2" t="s">
        <v>52</v>
      </c>
      <c r="J52" s="2" t="s">
        <v>52</v>
      </c>
      <c r="K52" s="2">
        <v>0</v>
      </c>
      <c r="L52" s="2">
        <v>0</v>
      </c>
      <c r="M52" s="2" t="s">
        <v>52</v>
      </c>
      <c r="N52" s="2" t="s">
        <v>52</v>
      </c>
      <c r="O52" s="2" t="s">
        <v>52</v>
      </c>
      <c r="P52" s="2" t="s">
        <v>52</v>
      </c>
      <c r="Q52" t="e">
        <f t="shared" si="0"/>
        <v>#VALUE!</v>
      </c>
    </row>
    <row r="53" spans="1:17" x14ac:dyDescent="0.35">
      <c r="A53" t="s">
        <v>39</v>
      </c>
      <c r="B53" t="s">
        <v>624</v>
      </c>
      <c r="C53" t="s">
        <v>72</v>
      </c>
      <c r="D53" t="s">
        <v>555</v>
      </c>
      <c r="E53" s="2" t="s">
        <v>627</v>
      </c>
      <c r="F53" s="2" t="s">
        <v>628</v>
      </c>
      <c r="G53" s="2" t="s">
        <v>629</v>
      </c>
      <c r="H53" s="2" t="s">
        <v>629</v>
      </c>
      <c r="I53" s="2" t="s">
        <v>633</v>
      </c>
      <c r="J53" s="2" t="s">
        <v>634</v>
      </c>
      <c r="K53" s="2">
        <v>2.73</v>
      </c>
      <c r="L53" s="2">
        <v>2.73</v>
      </c>
      <c r="M53" s="2" t="s">
        <v>636</v>
      </c>
      <c r="N53" s="2" t="s">
        <v>637</v>
      </c>
      <c r="O53" s="2" t="s">
        <v>638</v>
      </c>
      <c r="P53" s="2" t="s">
        <v>638</v>
      </c>
      <c r="Q53" t="e">
        <f t="shared" si="0"/>
        <v>#VALUE!</v>
      </c>
    </row>
    <row r="54" spans="1:17" x14ac:dyDescent="0.35">
      <c r="A54" t="s">
        <v>39</v>
      </c>
      <c r="B54" t="s">
        <v>641</v>
      </c>
      <c r="C54" t="s">
        <v>72</v>
      </c>
      <c r="D54" t="s">
        <v>555</v>
      </c>
      <c r="E54" s="2" t="s">
        <v>52</v>
      </c>
      <c r="F54" s="2" t="s">
        <v>52</v>
      </c>
      <c r="G54" s="2" t="s">
        <v>52</v>
      </c>
      <c r="H54" s="2" t="s">
        <v>52</v>
      </c>
      <c r="I54" s="2" t="s">
        <v>52</v>
      </c>
      <c r="J54" s="2" t="s">
        <v>52</v>
      </c>
      <c r="K54" s="2">
        <v>0</v>
      </c>
      <c r="L54" s="2">
        <v>0</v>
      </c>
      <c r="M54" s="2" t="s">
        <v>52</v>
      </c>
      <c r="N54" s="2" t="s">
        <v>52</v>
      </c>
      <c r="O54" s="2" t="s">
        <v>52</v>
      </c>
      <c r="P54" s="2" t="s">
        <v>52</v>
      </c>
      <c r="Q54" t="e">
        <f t="shared" si="0"/>
        <v>#VALUE!</v>
      </c>
    </row>
    <row r="55" spans="1:17" x14ac:dyDescent="0.35">
      <c r="A55" t="s">
        <v>39</v>
      </c>
      <c r="B55" t="s">
        <v>643</v>
      </c>
      <c r="C55" t="s">
        <v>72</v>
      </c>
      <c r="D55" t="s">
        <v>555</v>
      </c>
      <c r="E55" s="2" t="s">
        <v>646</v>
      </c>
      <c r="F55" s="2" t="s">
        <v>647</v>
      </c>
      <c r="G55" s="2" t="s">
        <v>647</v>
      </c>
      <c r="H55" s="2" t="s">
        <v>647</v>
      </c>
      <c r="I55" s="2" t="s">
        <v>651</v>
      </c>
      <c r="J55" s="2" t="s">
        <v>652</v>
      </c>
      <c r="K55" s="2">
        <v>0.84</v>
      </c>
      <c r="L55" s="2">
        <v>0.84</v>
      </c>
      <c r="M55" s="2" t="s">
        <v>656</v>
      </c>
      <c r="N55" s="2" t="s">
        <v>657</v>
      </c>
      <c r="O55" s="2" t="s">
        <v>657</v>
      </c>
      <c r="P55" s="2" t="s">
        <v>657</v>
      </c>
      <c r="Q55" t="e">
        <f t="shared" si="0"/>
        <v>#VALUE!</v>
      </c>
    </row>
    <row r="56" spans="1:17" x14ac:dyDescent="0.35">
      <c r="A56" t="s">
        <v>39</v>
      </c>
      <c r="B56" t="s">
        <v>660</v>
      </c>
      <c r="C56" t="s">
        <v>72</v>
      </c>
      <c r="D56" t="s">
        <v>555</v>
      </c>
      <c r="E56" s="2" t="s">
        <v>52</v>
      </c>
      <c r="F56" s="2" t="s">
        <v>52</v>
      </c>
      <c r="G56" s="2" t="s">
        <v>52</v>
      </c>
      <c r="H56" s="2" t="s">
        <v>52</v>
      </c>
      <c r="I56" s="2" t="s">
        <v>52</v>
      </c>
      <c r="J56" s="2" t="s">
        <v>52</v>
      </c>
      <c r="K56" s="2">
        <v>0</v>
      </c>
      <c r="L56" s="2">
        <v>0</v>
      </c>
      <c r="M56" s="2" t="s">
        <v>52</v>
      </c>
      <c r="N56" s="2" t="s">
        <v>52</v>
      </c>
      <c r="O56" s="2" t="s">
        <v>52</v>
      </c>
      <c r="P56" s="2" t="s">
        <v>52</v>
      </c>
      <c r="Q56" t="e">
        <f t="shared" si="0"/>
        <v>#VALUE!</v>
      </c>
    </row>
    <row r="57" spans="1:17" x14ac:dyDescent="0.35">
      <c r="A57" t="s">
        <v>39</v>
      </c>
      <c r="B57" t="s">
        <v>662</v>
      </c>
      <c r="C57" t="s">
        <v>72</v>
      </c>
      <c r="D57" t="s">
        <v>555</v>
      </c>
      <c r="E57" s="2" t="s">
        <v>665</v>
      </c>
      <c r="F57" s="2" t="s">
        <v>666</v>
      </c>
      <c r="G57" s="2" t="s">
        <v>667</v>
      </c>
      <c r="H57" s="2" t="s">
        <v>667</v>
      </c>
      <c r="I57" s="2" t="s">
        <v>670</v>
      </c>
      <c r="J57" s="2" t="s">
        <v>671</v>
      </c>
      <c r="K57" s="2">
        <v>0.83</v>
      </c>
      <c r="L57" s="2">
        <v>0.83</v>
      </c>
      <c r="M57" s="2" t="s">
        <v>674</v>
      </c>
      <c r="N57" s="2" t="s">
        <v>675</v>
      </c>
      <c r="O57" s="2" t="s">
        <v>676</v>
      </c>
      <c r="P57" s="2" t="s">
        <v>676</v>
      </c>
      <c r="Q57" t="e">
        <f t="shared" si="0"/>
        <v>#VALUE!</v>
      </c>
    </row>
    <row r="58" spans="1:17" x14ac:dyDescent="0.35">
      <c r="A58" t="s">
        <v>39</v>
      </c>
      <c r="B58" t="s">
        <v>678</v>
      </c>
      <c r="C58" t="s">
        <v>72</v>
      </c>
      <c r="D58" t="s">
        <v>555</v>
      </c>
      <c r="E58" s="2" t="s">
        <v>656</v>
      </c>
      <c r="F58" s="2" t="s">
        <v>681</v>
      </c>
      <c r="G58" s="2" t="s">
        <v>682</v>
      </c>
      <c r="H58" s="2" t="s">
        <v>682</v>
      </c>
      <c r="I58" s="2" t="s">
        <v>684</v>
      </c>
      <c r="J58" s="2" t="s">
        <v>685</v>
      </c>
      <c r="K58" s="2">
        <v>0.83</v>
      </c>
      <c r="L58" s="2">
        <v>0.83</v>
      </c>
      <c r="M58" s="2" t="s">
        <v>687</v>
      </c>
      <c r="N58" s="2" t="s">
        <v>688</v>
      </c>
      <c r="O58" s="2" t="s">
        <v>689</v>
      </c>
      <c r="P58" s="2" t="s">
        <v>689</v>
      </c>
      <c r="Q58" t="e">
        <f t="shared" si="0"/>
        <v>#VALUE!</v>
      </c>
    </row>
    <row r="59" spans="1:17" x14ac:dyDescent="0.35">
      <c r="A59" t="s">
        <v>39</v>
      </c>
      <c r="B59" t="s">
        <v>690</v>
      </c>
      <c r="C59" t="s">
        <v>72</v>
      </c>
      <c r="D59" t="s">
        <v>555</v>
      </c>
      <c r="E59" s="2" t="s">
        <v>694</v>
      </c>
      <c r="F59" s="2" t="s">
        <v>52</v>
      </c>
      <c r="G59" s="2" t="s">
        <v>52</v>
      </c>
      <c r="H59" s="2" t="s">
        <v>52</v>
      </c>
      <c r="I59" s="2" t="s">
        <v>180</v>
      </c>
      <c r="J59" s="2" t="s">
        <v>52</v>
      </c>
      <c r="K59" s="2">
        <v>0</v>
      </c>
      <c r="L59" s="2">
        <v>0</v>
      </c>
      <c r="M59" s="2" t="s">
        <v>696</v>
      </c>
      <c r="N59" s="2" t="s">
        <v>52</v>
      </c>
      <c r="O59" s="2" t="s">
        <v>52</v>
      </c>
      <c r="P59" s="2" t="s">
        <v>52</v>
      </c>
      <c r="Q59" t="e">
        <f t="shared" si="0"/>
        <v>#VALUE!</v>
      </c>
    </row>
    <row r="60" spans="1:17" x14ac:dyDescent="0.35">
      <c r="A60" t="s">
        <v>39</v>
      </c>
      <c r="B60" t="s">
        <v>697</v>
      </c>
      <c r="C60" t="s">
        <v>72</v>
      </c>
      <c r="D60" t="s">
        <v>555</v>
      </c>
      <c r="E60" s="2" t="s">
        <v>700</v>
      </c>
      <c r="F60" s="2" t="s">
        <v>701</v>
      </c>
      <c r="G60" s="2" t="s">
        <v>702</v>
      </c>
      <c r="H60" s="2" t="s">
        <v>702</v>
      </c>
      <c r="I60" s="2" t="s">
        <v>703</v>
      </c>
      <c r="J60" s="2" t="s">
        <v>704</v>
      </c>
      <c r="K60" s="2">
        <v>1.17</v>
      </c>
      <c r="L60" s="2">
        <v>1.17</v>
      </c>
      <c r="M60" s="2" t="s">
        <v>702</v>
      </c>
      <c r="N60" s="2" t="s">
        <v>706</v>
      </c>
      <c r="O60" s="2" t="s">
        <v>707</v>
      </c>
      <c r="P60" s="2" t="s">
        <v>707</v>
      </c>
      <c r="Q60" t="e">
        <f t="shared" si="0"/>
        <v>#VALUE!</v>
      </c>
    </row>
    <row r="61" spans="1:17" x14ac:dyDescent="0.35">
      <c r="A61" t="s">
        <v>39</v>
      </c>
      <c r="B61" t="s">
        <v>708</v>
      </c>
      <c r="C61" t="s">
        <v>72</v>
      </c>
      <c r="D61" t="s">
        <v>555</v>
      </c>
      <c r="E61" s="2" t="s">
        <v>711</v>
      </c>
      <c r="F61" s="2" t="s">
        <v>52</v>
      </c>
      <c r="G61" s="2" t="s">
        <v>52</v>
      </c>
      <c r="H61" s="2" t="s">
        <v>52</v>
      </c>
      <c r="I61" s="2" t="s">
        <v>713</v>
      </c>
      <c r="J61" s="2" t="s">
        <v>52</v>
      </c>
      <c r="K61" s="2">
        <v>0</v>
      </c>
      <c r="L61" s="2">
        <v>0</v>
      </c>
      <c r="M61" s="2" t="s">
        <v>715</v>
      </c>
      <c r="N61" s="2" t="s">
        <v>52</v>
      </c>
      <c r="O61" s="2" t="s">
        <v>52</v>
      </c>
      <c r="P61" s="2" t="s">
        <v>52</v>
      </c>
      <c r="Q61" t="e">
        <f t="shared" si="0"/>
        <v>#VALUE!</v>
      </c>
    </row>
    <row r="62" spans="1:17" x14ac:dyDescent="0.35">
      <c r="A62" t="s">
        <v>39</v>
      </c>
      <c r="B62" t="s">
        <v>716</v>
      </c>
      <c r="C62" t="s">
        <v>72</v>
      </c>
      <c r="D62" t="s">
        <v>555</v>
      </c>
      <c r="E62" s="2" t="s">
        <v>52</v>
      </c>
      <c r="F62" s="2" t="s">
        <v>52</v>
      </c>
      <c r="G62" s="2" t="s">
        <v>52</v>
      </c>
      <c r="H62" s="2" t="s">
        <v>52</v>
      </c>
      <c r="I62" s="2" t="s">
        <v>52</v>
      </c>
      <c r="J62" s="2" t="s">
        <v>52</v>
      </c>
      <c r="K62" s="2">
        <v>0</v>
      </c>
      <c r="L62" s="2">
        <v>0</v>
      </c>
      <c r="M62" s="2" t="s">
        <v>52</v>
      </c>
      <c r="N62" s="2" t="s">
        <v>52</v>
      </c>
      <c r="O62" s="2" t="s">
        <v>52</v>
      </c>
      <c r="P62" s="2" t="s">
        <v>52</v>
      </c>
      <c r="Q62" t="e">
        <f t="shared" si="0"/>
        <v>#VALUE!</v>
      </c>
    </row>
    <row r="63" spans="1:17" x14ac:dyDescent="0.35">
      <c r="A63" t="s">
        <v>39</v>
      </c>
      <c r="B63" t="s">
        <v>719</v>
      </c>
      <c r="C63" t="s">
        <v>72</v>
      </c>
      <c r="D63" t="s">
        <v>555</v>
      </c>
      <c r="E63" s="2" t="s">
        <v>723</v>
      </c>
      <c r="F63" s="2" t="s">
        <v>724</v>
      </c>
      <c r="G63" s="2" t="s">
        <v>725</v>
      </c>
      <c r="H63" s="2" t="s">
        <v>725</v>
      </c>
      <c r="I63" s="2" t="s">
        <v>728</v>
      </c>
      <c r="J63" s="2" t="s">
        <v>729</v>
      </c>
      <c r="K63" s="2">
        <v>6.29</v>
      </c>
      <c r="L63" s="2">
        <v>6.29</v>
      </c>
      <c r="M63" s="2" t="s">
        <v>732</v>
      </c>
      <c r="N63" s="2" t="s">
        <v>733</v>
      </c>
      <c r="O63" s="2" t="s">
        <v>734</v>
      </c>
      <c r="P63" s="2" t="s">
        <v>734</v>
      </c>
      <c r="Q63" t="e">
        <f t="shared" si="0"/>
        <v>#VALUE!</v>
      </c>
    </row>
    <row r="64" spans="1:17" x14ac:dyDescent="0.35">
      <c r="A64" t="s">
        <v>39</v>
      </c>
      <c r="B64" t="s">
        <v>736</v>
      </c>
      <c r="C64" t="s">
        <v>72</v>
      </c>
      <c r="D64" t="s">
        <v>555</v>
      </c>
      <c r="E64" s="2" t="s">
        <v>739</v>
      </c>
      <c r="F64" s="2" t="s">
        <v>740</v>
      </c>
      <c r="G64" s="2" t="s">
        <v>741</v>
      </c>
      <c r="H64" s="2" t="s">
        <v>741</v>
      </c>
      <c r="I64" s="2" t="s">
        <v>743</v>
      </c>
      <c r="J64" s="2" t="s">
        <v>743</v>
      </c>
      <c r="K64" s="2">
        <v>3</v>
      </c>
      <c r="L64" s="2">
        <v>3</v>
      </c>
      <c r="M64" s="2" t="s">
        <v>746</v>
      </c>
      <c r="N64" s="2" t="s">
        <v>747</v>
      </c>
      <c r="O64" s="2" t="s">
        <v>748</v>
      </c>
      <c r="P64" s="2" t="s">
        <v>748</v>
      </c>
      <c r="Q64" t="e">
        <f t="shared" si="0"/>
        <v>#VALUE!</v>
      </c>
    </row>
    <row r="65" spans="1:17" x14ac:dyDescent="0.35">
      <c r="A65" t="s">
        <v>39</v>
      </c>
      <c r="B65" t="s">
        <v>750</v>
      </c>
      <c r="C65" t="s">
        <v>72</v>
      </c>
      <c r="D65" t="s">
        <v>555</v>
      </c>
      <c r="E65" s="2" t="s">
        <v>754</v>
      </c>
      <c r="F65" s="2" t="s">
        <v>755</v>
      </c>
      <c r="G65" s="2" t="s">
        <v>756</v>
      </c>
      <c r="H65" s="2" t="s">
        <v>756</v>
      </c>
      <c r="I65" s="2" t="s">
        <v>759</v>
      </c>
      <c r="J65" s="2" t="s">
        <v>760</v>
      </c>
      <c r="K65" s="2">
        <v>0.38</v>
      </c>
      <c r="L65" s="2">
        <v>0.38</v>
      </c>
      <c r="M65" s="2" t="s">
        <v>762</v>
      </c>
      <c r="N65" s="2" t="s">
        <v>763</v>
      </c>
      <c r="O65" s="2" t="s">
        <v>764</v>
      </c>
      <c r="P65" s="2" t="s">
        <v>764</v>
      </c>
      <c r="Q65" t="e">
        <f t="shared" si="0"/>
        <v>#VALUE!</v>
      </c>
    </row>
    <row r="66" spans="1:17" x14ac:dyDescent="0.35">
      <c r="A66" t="s">
        <v>39</v>
      </c>
      <c r="B66" t="s">
        <v>766</v>
      </c>
      <c r="C66" t="s">
        <v>72</v>
      </c>
      <c r="D66" t="s">
        <v>555</v>
      </c>
      <c r="E66" s="2" t="s">
        <v>769</v>
      </c>
      <c r="F66" s="2" t="s">
        <v>770</v>
      </c>
      <c r="G66" s="2" t="s">
        <v>771</v>
      </c>
      <c r="H66" s="2" t="s">
        <v>771</v>
      </c>
      <c r="I66" s="2" t="s">
        <v>310</v>
      </c>
      <c r="J66" s="2" t="s">
        <v>685</v>
      </c>
      <c r="K66" s="2">
        <v>0.94</v>
      </c>
      <c r="L66" s="2">
        <v>0.94</v>
      </c>
      <c r="M66" s="2" t="s">
        <v>775</v>
      </c>
      <c r="N66" s="2" t="s">
        <v>776</v>
      </c>
      <c r="O66" s="2" t="s">
        <v>777</v>
      </c>
      <c r="P66" s="2" t="s">
        <v>777</v>
      </c>
      <c r="Q66" t="e">
        <f t="shared" ref="Q66:Q129" si="1">IF(F66&lt;&gt;0,(G66/F66)-1,"")</f>
        <v>#VALUE!</v>
      </c>
    </row>
    <row r="67" spans="1:17" x14ac:dyDescent="0.35">
      <c r="A67" t="s">
        <v>39</v>
      </c>
      <c r="B67" t="s">
        <v>779</v>
      </c>
      <c r="C67" t="s">
        <v>72</v>
      </c>
      <c r="D67" t="s">
        <v>555</v>
      </c>
      <c r="E67" s="2" t="s">
        <v>782</v>
      </c>
      <c r="F67" s="2" t="s">
        <v>782</v>
      </c>
      <c r="G67" s="2" t="s">
        <v>783</v>
      </c>
      <c r="H67" s="2" t="s">
        <v>783</v>
      </c>
      <c r="I67" s="2" t="s">
        <v>786</v>
      </c>
      <c r="J67" s="2" t="s">
        <v>786</v>
      </c>
      <c r="K67" s="2">
        <v>1.46</v>
      </c>
      <c r="L67" s="2">
        <v>1.46</v>
      </c>
      <c r="M67" s="2" t="s">
        <v>789</v>
      </c>
      <c r="N67" s="2" t="s">
        <v>789</v>
      </c>
      <c r="O67" s="2" t="s">
        <v>790</v>
      </c>
      <c r="P67" s="2" t="s">
        <v>790</v>
      </c>
      <c r="Q67" t="e">
        <f t="shared" si="1"/>
        <v>#VALUE!</v>
      </c>
    </row>
    <row r="68" spans="1:17" x14ac:dyDescent="0.35">
      <c r="A68" t="s">
        <v>39</v>
      </c>
      <c r="B68" t="s">
        <v>792</v>
      </c>
      <c r="C68" t="s">
        <v>72</v>
      </c>
      <c r="D68" t="s">
        <v>555</v>
      </c>
      <c r="E68" s="2" t="s">
        <v>796</v>
      </c>
      <c r="F68" s="2" t="s">
        <v>797</v>
      </c>
      <c r="G68" s="2" t="s">
        <v>798</v>
      </c>
      <c r="H68" s="2" t="s">
        <v>798</v>
      </c>
      <c r="I68" s="2" t="s">
        <v>800</v>
      </c>
      <c r="J68" s="2" t="s">
        <v>801</v>
      </c>
      <c r="K68" s="2">
        <v>1.36</v>
      </c>
      <c r="L68" s="2">
        <v>1.36</v>
      </c>
      <c r="M68" s="2" t="s">
        <v>803</v>
      </c>
      <c r="N68" s="2" t="s">
        <v>804</v>
      </c>
      <c r="O68" s="2" t="s">
        <v>805</v>
      </c>
      <c r="P68" s="2" t="s">
        <v>805</v>
      </c>
      <c r="Q68" t="e">
        <f t="shared" si="1"/>
        <v>#VALUE!</v>
      </c>
    </row>
    <row r="69" spans="1:17" x14ac:dyDescent="0.35">
      <c r="A69" t="s">
        <v>39</v>
      </c>
      <c r="B69" t="s">
        <v>806</v>
      </c>
      <c r="C69" t="s">
        <v>72</v>
      </c>
      <c r="D69" t="s">
        <v>555</v>
      </c>
      <c r="E69" s="2" t="s">
        <v>810</v>
      </c>
      <c r="F69" s="2" t="s">
        <v>811</v>
      </c>
      <c r="G69" s="2" t="s">
        <v>812</v>
      </c>
      <c r="H69" s="2" t="s">
        <v>813</v>
      </c>
      <c r="I69" s="2" t="s">
        <v>816</v>
      </c>
      <c r="J69" s="2" t="s">
        <v>817</v>
      </c>
      <c r="K69" s="2">
        <v>39.729999999999997</v>
      </c>
      <c r="L69" s="2">
        <v>54.19</v>
      </c>
      <c r="M69" s="2" t="s">
        <v>820</v>
      </c>
      <c r="N69" s="2" t="s">
        <v>821</v>
      </c>
      <c r="O69" s="2" t="s">
        <v>822</v>
      </c>
      <c r="P69" s="2" t="s">
        <v>823</v>
      </c>
      <c r="Q69" t="e">
        <f t="shared" si="1"/>
        <v>#VALUE!</v>
      </c>
    </row>
    <row r="70" spans="1:17" x14ac:dyDescent="0.35">
      <c r="A70" t="s">
        <v>39</v>
      </c>
      <c r="B70" t="s">
        <v>825</v>
      </c>
      <c r="C70" t="s">
        <v>72</v>
      </c>
      <c r="D70" t="s">
        <v>555</v>
      </c>
      <c r="E70" s="2" t="s">
        <v>247</v>
      </c>
      <c r="F70" s="2" t="s">
        <v>829</v>
      </c>
      <c r="G70" s="2" t="s">
        <v>830</v>
      </c>
      <c r="H70" s="2" t="s">
        <v>831</v>
      </c>
      <c r="I70" s="2" t="s">
        <v>833</v>
      </c>
      <c r="J70" s="2" t="s">
        <v>834</v>
      </c>
      <c r="K70" s="2">
        <v>8.67</v>
      </c>
      <c r="L70" s="2">
        <v>10.83</v>
      </c>
      <c r="M70" s="2" t="s">
        <v>836</v>
      </c>
      <c r="N70" s="2" t="s">
        <v>837</v>
      </c>
      <c r="O70" s="2" t="s">
        <v>838</v>
      </c>
      <c r="P70" s="2" t="s">
        <v>839</v>
      </c>
      <c r="Q70" t="e">
        <f t="shared" si="1"/>
        <v>#VALUE!</v>
      </c>
    </row>
    <row r="71" spans="1:17" x14ac:dyDescent="0.35">
      <c r="A71" t="s">
        <v>39</v>
      </c>
      <c r="B71" t="s">
        <v>841</v>
      </c>
      <c r="C71" t="s">
        <v>72</v>
      </c>
      <c r="D71" t="s">
        <v>555</v>
      </c>
      <c r="E71" s="2" t="s">
        <v>52</v>
      </c>
      <c r="F71" s="2" t="s">
        <v>52</v>
      </c>
      <c r="G71" s="2" t="s">
        <v>52</v>
      </c>
      <c r="H71" s="2" t="s">
        <v>52</v>
      </c>
      <c r="I71" s="2" t="s">
        <v>52</v>
      </c>
      <c r="J71" s="2" t="s">
        <v>52</v>
      </c>
      <c r="K71" s="2">
        <v>0</v>
      </c>
      <c r="L71" s="2">
        <v>0</v>
      </c>
      <c r="M71" s="2" t="s">
        <v>52</v>
      </c>
      <c r="N71" s="2" t="s">
        <v>52</v>
      </c>
      <c r="O71" s="2" t="s">
        <v>52</v>
      </c>
      <c r="P71" s="2" t="s">
        <v>52</v>
      </c>
      <c r="Q71" t="e">
        <f t="shared" si="1"/>
        <v>#VALUE!</v>
      </c>
    </row>
    <row r="72" spans="1:17" x14ac:dyDescent="0.35">
      <c r="A72" t="s">
        <v>39</v>
      </c>
      <c r="B72" t="s">
        <v>846</v>
      </c>
      <c r="C72" t="s">
        <v>72</v>
      </c>
      <c r="D72" t="s">
        <v>555</v>
      </c>
      <c r="E72" s="2" t="s">
        <v>52</v>
      </c>
      <c r="F72" s="2" t="s">
        <v>52</v>
      </c>
      <c r="G72" s="2" t="s">
        <v>52</v>
      </c>
      <c r="H72" s="2" t="s">
        <v>52</v>
      </c>
      <c r="I72" s="2" t="s">
        <v>52</v>
      </c>
      <c r="J72" s="2" t="s">
        <v>52</v>
      </c>
      <c r="K72" s="2">
        <v>0</v>
      </c>
      <c r="L72" s="2">
        <v>0</v>
      </c>
      <c r="M72" s="2" t="s">
        <v>52</v>
      </c>
      <c r="N72" s="2" t="s">
        <v>52</v>
      </c>
      <c r="O72" s="2" t="s">
        <v>52</v>
      </c>
      <c r="P72" s="2" t="s">
        <v>52</v>
      </c>
      <c r="Q72" t="e">
        <f t="shared" si="1"/>
        <v>#VALUE!</v>
      </c>
    </row>
    <row r="73" spans="1:17" x14ac:dyDescent="0.35">
      <c r="A73" t="s">
        <v>39</v>
      </c>
      <c r="B73" t="s">
        <v>849</v>
      </c>
      <c r="C73" t="s">
        <v>72</v>
      </c>
      <c r="D73" t="s">
        <v>555</v>
      </c>
      <c r="E73" s="2" t="s">
        <v>851</v>
      </c>
      <c r="F73" s="2" t="s">
        <v>852</v>
      </c>
      <c r="G73" s="2" t="s">
        <v>853</v>
      </c>
      <c r="H73" s="2" t="s">
        <v>853</v>
      </c>
      <c r="I73" s="2" t="s">
        <v>857</v>
      </c>
      <c r="J73" s="2" t="s">
        <v>858</v>
      </c>
      <c r="K73" s="2">
        <v>0.69</v>
      </c>
      <c r="L73" s="2">
        <v>0.69</v>
      </c>
      <c r="M73" s="2" t="s">
        <v>860</v>
      </c>
      <c r="N73" s="2" t="s">
        <v>861</v>
      </c>
      <c r="O73" s="2" t="s">
        <v>862</v>
      </c>
      <c r="P73" s="2" t="s">
        <v>862</v>
      </c>
      <c r="Q73" t="e">
        <f t="shared" si="1"/>
        <v>#VALUE!</v>
      </c>
    </row>
    <row r="74" spans="1:17" x14ac:dyDescent="0.35">
      <c r="A74" t="s">
        <v>39</v>
      </c>
      <c r="B74" t="s">
        <v>865</v>
      </c>
      <c r="C74" t="s">
        <v>72</v>
      </c>
      <c r="D74" t="s">
        <v>555</v>
      </c>
      <c r="E74" s="2" t="s">
        <v>868</v>
      </c>
      <c r="F74" s="2" t="s">
        <v>869</v>
      </c>
      <c r="G74" s="2" t="s">
        <v>870</v>
      </c>
      <c r="H74" s="2" t="s">
        <v>870</v>
      </c>
      <c r="I74" s="2" t="s">
        <v>872</v>
      </c>
      <c r="J74" s="2" t="s">
        <v>181</v>
      </c>
      <c r="K74" s="2">
        <v>0.41</v>
      </c>
      <c r="L74" s="2">
        <v>0.41</v>
      </c>
      <c r="M74" s="2" t="s">
        <v>874</v>
      </c>
      <c r="N74" s="2" t="s">
        <v>875</v>
      </c>
      <c r="O74" s="2" t="s">
        <v>876</v>
      </c>
      <c r="P74" s="2" t="s">
        <v>876</v>
      </c>
      <c r="Q74" t="e">
        <f t="shared" si="1"/>
        <v>#VALUE!</v>
      </c>
    </row>
    <row r="75" spans="1:17" x14ac:dyDescent="0.35">
      <c r="A75" t="s">
        <v>39</v>
      </c>
      <c r="B75" t="s">
        <v>878</v>
      </c>
      <c r="C75" t="s">
        <v>72</v>
      </c>
      <c r="D75" t="s">
        <v>555</v>
      </c>
      <c r="E75" s="2" t="s">
        <v>52</v>
      </c>
      <c r="F75" s="2" t="s">
        <v>52</v>
      </c>
      <c r="G75" s="2" t="s">
        <v>52</v>
      </c>
      <c r="H75" s="2" t="s">
        <v>52</v>
      </c>
      <c r="I75" s="2" t="s">
        <v>52</v>
      </c>
      <c r="J75" s="2" t="s">
        <v>52</v>
      </c>
      <c r="K75" s="2">
        <v>0</v>
      </c>
      <c r="L75" s="2">
        <v>0</v>
      </c>
      <c r="M75" s="2" t="s">
        <v>52</v>
      </c>
      <c r="N75" s="2" t="s">
        <v>52</v>
      </c>
      <c r="O75" s="2" t="s">
        <v>52</v>
      </c>
      <c r="P75" s="2" t="s">
        <v>52</v>
      </c>
      <c r="Q75" t="e">
        <f t="shared" si="1"/>
        <v>#VALUE!</v>
      </c>
    </row>
    <row r="76" spans="1:17" x14ac:dyDescent="0.35">
      <c r="A76" t="s">
        <v>39</v>
      </c>
      <c r="B76" t="s">
        <v>880</v>
      </c>
      <c r="C76" t="s">
        <v>72</v>
      </c>
      <c r="D76" t="s">
        <v>555</v>
      </c>
      <c r="E76" s="2" t="s">
        <v>457</v>
      </c>
      <c r="F76" s="2" t="s">
        <v>457</v>
      </c>
      <c r="G76" s="2" t="s">
        <v>457</v>
      </c>
      <c r="H76" s="2" t="s">
        <v>457</v>
      </c>
      <c r="I76" s="2" t="s">
        <v>858</v>
      </c>
      <c r="J76" s="2" t="s">
        <v>858</v>
      </c>
      <c r="K76" s="2">
        <v>0.8</v>
      </c>
      <c r="L76" s="2">
        <v>0.8</v>
      </c>
      <c r="M76" s="2" t="s">
        <v>886</v>
      </c>
      <c r="N76" s="2" t="s">
        <v>886</v>
      </c>
      <c r="O76" s="2" t="s">
        <v>886</v>
      </c>
      <c r="P76" s="2" t="s">
        <v>886</v>
      </c>
      <c r="Q76" t="e">
        <f t="shared" si="1"/>
        <v>#VALUE!</v>
      </c>
    </row>
    <row r="77" spans="1:17" x14ac:dyDescent="0.35">
      <c r="A77" t="s">
        <v>39</v>
      </c>
      <c r="B77" t="s">
        <v>887</v>
      </c>
      <c r="C77" t="s">
        <v>72</v>
      </c>
      <c r="D77" t="s">
        <v>555</v>
      </c>
      <c r="E77" s="2" t="s">
        <v>796</v>
      </c>
      <c r="F77" s="2" t="s">
        <v>891</v>
      </c>
      <c r="G77" s="2" t="s">
        <v>892</v>
      </c>
      <c r="H77" s="2" t="s">
        <v>893</v>
      </c>
      <c r="I77" s="2" t="s">
        <v>800</v>
      </c>
      <c r="J77" s="2" t="s">
        <v>896</v>
      </c>
      <c r="K77" s="2">
        <v>4.05</v>
      </c>
      <c r="L77" s="2">
        <v>2.7</v>
      </c>
      <c r="M77" s="2" t="s">
        <v>899</v>
      </c>
      <c r="N77" s="2" t="s">
        <v>900</v>
      </c>
      <c r="O77" s="2" t="s">
        <v>901</v>
      </c>
      <c r="P77" s="2" t="s">
        <v>902</v>
      </c>
      <c r="Q77" t="e">
        <f t="shared" si="1"/>
        <v>#VALUE!</v>
      </c>
    </row>
    <row r="78" spans="1:17" x14ac:dyDescent="0.35">
      <c r="A78" t="s">
        <v>39</v>
      </c>
      <c r="B78" t="s">
        <v>904</v>
      </c>
      <c r="C78" t="s">
        <v>72</v>
      </c>
      <c r="D78" t="s">
        <v>555</v>
      </c>
      <c r="E78" s="2" t="s">
        <v>52</v>
      </c>
      <c r="F78" s="2" t="s">
        <v>52</v>
      </c>
      <c r="G78" s="2" t="s">
        <v>52</v>
      </c>
      <c r="H78" s="2" t="s">
        <v>52</v>
      </c>
      <c r="I78" s="2" t="s">
        <v>52</v>
      </c>
      <c r="J78" s="2" t="s">
        <v>52</v>
      </c>
      <c r="K78" s="2">
        <v>0</v>
      </c>
      <c r="L78" s="2">
        <v>0</v>
      </c>
      <c r="M78" s="2" t="s">
        <v>52</v>
      </c>
      <c r="N78" s="2" t="s">
        <v>52</v>
      </c>
      <c r="O78" s="2" t="s">
        <v>52</v>
      </c>
      <c r="P78" s="2" t="s">
        <v>52</v>
      </c>
      <c r="Q78" t="e">
        <f t="shared" si="1"/>
        <v>#VALUE!</v>
      </c>
    </row>
    <row r="79" spans="1:17" x14ac:dyDescent="0.35">
      <c r="A79" t="s">
        <v>39</v>
      </c>
      <c r="B79" t="s">
        <v>906</v>
      </c>
      <c r="C79" t="s">
        <v>72</v>
      </c>
      <c r="D79" t="s">
        <v>555</v>
      </c>
      <c r="E79" s="2" t="s">
        <v>52</v>
      </c>
      <c r="F79" s="2" t="s">
        <v>52</v>
      </c>
      <c r="G79" s="2" t="s">
        <v>52</v>
      </c>
      <c r="H79" s="2" t="s">
        <v>52</v>
      </c>
      <c r="I79" s="2" t="s">
        <v>52</v>
      </c>
      <c r="J79" s="2" t="s">
        <v>52</v>
      </c>
      <c r="K79" s="2">
        <v>0</v>
      </c>
      <c r="L79" s="2">
        <v>0</v>
      </c>
      <c r="M79" s="2" t="s">
        <v>52</v>
      </c>
      <c r="N79" s="2" t="s">
        <v>52</v>
      </c>
      <c r="O79" s="2" t="s">
        <v>52</v>
      </c>
      <c r="P79" s="2" t="s">
        <v>52</v>
      </c>
      <c r="Q79" t="e">
        <f t="shared" si="1"/>
        <v>#VALUE!</v>
      </c>
    </row>
    <row r="80" spans="1:17" x14ac:dyDescent="0.35">
      <c r="A80" t="s">
        <v>39</v>
      </c>
      <c r="B80" t="s">
        <v>908</v>
      </c>
      <c r="C80" t="s">
        <v>72</v>
      </c>
      <c r="D80" t="s">
        <v>555</v>
      </c>
      <c r="E80" s="2" t="s">
        <v>910</v>
      </c>
      <c r="F80" s="2" t="s">
        <v>911</v>
      </c>
      <c r="G80" s="2" t="s">
        <v>912</v>
      </c>
      <c r="H80" s="2" t="s">
        <v>913</v>
      </c>
      <c r="I80" s="2" t="s">
        <v>917</v>
      </c>
      <c r="J80" s="2" t="s">
        <v>918</v>
      </c>
      <c r="K80" s="2">
        <v>18.96</v>
      </c>
      <c r="L80" s="2">
        <v>27.09</v>
      </c>
      <c r="M80" s="2" t="s">
        <v>922</v>
      </c>
      <c r="N80" s="2" t="s">
        <v>923</v>
      </c>
      <c r="O80" s="2" t="s">
        <v>924</v>
      </c>
      <c r="P80" s="2" t="s">
        <v>925</v>
      </c>
      <c r="Q80" t="e">
        <f t="shared" si="1"/>
        <v>#VALUE!</v>
      </c>
    </row>
    <row r="81" spans="1:17" x14ac:dyDescent="0.35">
      <c r="A81" t="s">
        <v>39</v>
      </c>
      <c r="B81" t="s">
        <v>928</v>
      </c>
      <c r="C81" t="s">
        <v>72</v>
      </c>
      <c r="D81" t="s">
        <v>555</v>
      </c>
      <c r="E81" s="2" t="s">
        <v>52</v>
      </c>
      <c r="F81" s="2" t="s">
        <v>52</v>
      </c>
      <c r="G81" s="2" t="s">
        <v>52</v>
      </c>
      <c r="H81" s="2" t="s">
        <v>52</v>
      </c>
      <c r="I81" s="2" t="s">
        <v>52</v>
      </c>
      <c r="J81" s="2" t="s">
        <v>52</v>
      </c>
      <c r="K81" s="2">
        <v>0</v>
      </c>
      <c r="L81" s="2">
        <v>0</v>
      </c>
      <c r="M81" s="2" t="s">
        <v>52</v>
      </c>
      <c r="N81" s="2" t="s">
        <v>52</v>
      </c>
      <c r="O81" s="2" t="s">
        <v>52</v>
      </c>
      <c r="P81" s="2" t="s">
        <v>52</v>
      </c>
      <c r="Q81" t="e">
        <f t="shared" si="1"/>
        <v>#VALUE!</v>
      </c>
    </row>
    <row r="82" spans="1:17" x14ac:dyDescent="0.35">
      <c r="A82" t="s">
        <v>39</v>
      </c>
      <c r="B82" t="s">
        <v>931</v>
      </c>
      <c r="C82" t="s">
        <v>72</v>
      </c>
      <c r="D82" t="s">
        <v>555</v>
      </c>
      <c r="E82" s="2" t="s">
        <v>52</v>
      </c>
      <c r="F82" s="2" t="s">
        <v>52</v>
      </c>
      <c r="G82" s="2" t="s">
        <v>52</v>
      </c>
      <c r="H82" s="2" t="s">
        <v>52</v>
      </c>
      <c r="I82" s="2" t="s">
        <v>52</v>
      </c>
      <c r="J82" s="2" t="s">
        <v>52</v>
      </c>
      <c r="K82" s="2">
        <v>0</v>
      </c>
      <c r="L82" s="2">
        <v>0</v>
      </c>
      <c r="M82" s="2" t="s">
        <v>52</v>
      </c>
      <c r="N82" s="2" t="s">
        <v>52</v>
      </c>
      <c r="O82" s="2" t="s">
        <v>52</v>
      </c>
      <c r="P82" s="2" t="s">
        <v>52</v>
      </c>
      <c r="Q82" t="e">
        <f t="shared" si="1"/>
        <v>#VALUE!</v>
      </c>
    </row>
    <row r="83" spans="1:17" x14ac:dyDescent="0.35">
      <c r="A83" t="s">
        <v>39</v>
      </c>
      <c r="B83" t="s">
        <v>933</v>
      </c>
      <c r="C83" t="s">
        <v>72</v>
      </c>
      <c r="D83" t="s">
        <v>555</v>
      </c>
      <c r="E83" s="2" t="s">
        <v>52</v>
      </c>
      <c r="F83" s="2" t="s">
        <v>936</v>
      </c>
      <c r="G83" s="2" t="s">
        <v>936</v>
      </c>
      <c r="H83" s="2" t="s">
        <v>936</v>
      </c>
      <c r="I83" s="2" t="s">
        <v>52</v>
      </c>
      <c r="J83" s="2" t="s">
        <v>938</v>
      </c>
      <c r="K83" s="2">
        <v>0.9</v>
      </c>
      <c r="L83" s="2">
        <v>0.9</v>
      </c>
      <c r="M83" s="2" t="s">
        <v>52</v>
      </c>
      <c r="N83" s="2" t="s">
        <v>939</v>
      </c>
      <c r="O83" s="2" t="s">
        <v>939</v>
      </c>
      <c r="P83" s="2" t="s">
        <v>939</v>
      </c>
      <c r="Q83" t="e">
        <f t="shared" si="1"/>
        <v>#VALUE!</v>
      </c>
    </row>
    <row r="84" spans="1:17" x14ac:dyDescent="0.35">
      <c r="A84" t="s">
        <v>39</v>
      </c>
      <c r="B84" t="s">
        <v>941</v>
      </c>
      <c r="C84" t="s">
        <v>72</v>
      </c>
      <c r="D84" t="s">
        <v>555</v>
      </c>
      <c r="E84" s="2" t="s">
        <v>52</v>
      </c>
      <c r="F84" s="2" t="s">
        <v>52</v>
      </c>
      <c r="G84" s="2" t="s">
        <v>52</v>
      </c>
      <c r="H84" s="2" t="s">
        <v>52</v>
      </c>
      <c r="I84" s="2" t="s">
        <v>52</v>
      </c>
      <c r="J84" s="2" t="s">
        <v>52</v>
      </c>
      <c r="K84" s="2">
        <v>0</v>
      </c>
      <c r="L84" s="2">
        <v>0</v>
      </c>
      <c r="M84" s="2" t="s">
        <v>52</v>
      </c>
      <c r="N84" s="2" t="s">
        <v>52</v>
      </c>
      <c r="O84" s="2" t="s">
        <v>52</v>
      </c>
      <c r="P84" s="2" t="s">
        <v>52</v>
      </c>
      <c r="Q84" t="e">
        <f t="shared" si="1"/>
        <v>#VALUE!</v>
      </c>
    </row>
    <row r="85" spans="1:17" x14ac:dyDescent="0.35">
      <c r="A85" t="s">
        <v>39</v>
      </c>
      <c r="B85" t="s">
        <v>944</v>
      </c>
      <c r="C85" t="s">
        <v>72</v>
      </c>
      <c r="D85" t="s">
        <v>555</v>
      </c>
      <c r="E85" s="2" t="s">
        <v>947</v>
      </c>
      <c r="F85" s="2" t="s">
        <v>947</v>
      </c>
      <c r="G85" s="2" t="s">
        <v>948</v>
      </c>
      <c r="H85" s="2" t="s">
        <v>948</v>
      </c>
      <c r="I85" s="2" t="s">
        <v>951</v>
      </c>
      <c r="J85" s="2" t="s">
        <v>951</v>
      </c>
      <c r="K85" s="2">
        <v>3.52</v>
      </c>
      <c r="L85" s="2">
        <v>3.52</v>
      </c>
      <c r="M85" s="2" t="s">
        <v>953</v>
      </c>
      <c r="N85" s="2" t="s">
        <v>953</v>
      </c>
      <c r="O85" s="2" t="s">
        <v>954</v>
      </c>
      <c r="P85" s="2" t="s">
        <v>954</v>
      </c>
      <c r="Q85" t="e">
        <f t="shared" si="1"/>
        <v>#VALUE!</v>
      </c>
    </row>
    <row r="86" spans="1:17" x14ac:dyDescent="0.35">
      <c r="A86" t="s">
        <v>39</v>
      </c>
      <c r="B86" t="s">
        <v>956</v>
      </c>
      <c r="C86" t="s">
        <v>72</v>
      </c>
      <c r="D86" t="s">
        <v>555</v>
      </c>
      <c r="E86" s="2" t="s">
        <v>52</v>
      </c>
      <c r="F86" s="2" t="s">
        <v>52</v>
      </c>
      <c r="G86" s="2" t="s">
        <v>52</v>
      </c>
      <c r="H86" s="2" t="s">
        <v>52</v>
      </c>
      <c r="I86" s="2" t="s">
        <v>52</v>
      </c>
      <c r="J86" s="2" t="s">
        <v>52</v>
      </c>
      <c r="K86" s="2">
        <v>0</v>
      </c>
      <c r="L86" s="2">
        <v>0</v>
      </c>
      <c r="M86" s="2" t="s">
        <v>52</v>
      </c>
      <c r="N86" s="2" t="s">
        <v>52</v>
      </c>
      <c r="O86" s="2" t="s">
        <v>52</v>
      </c>
      <c r="P86" s="2" t="s">
        <v>52</v>
      </c>
      <c r="Q86" t="e">
        <f t="shared" si="1"/>
        <v>#VALUE!</v>
      </c>
    </row>
    <row r="87" spans="1:17" x14ac:dyDescent="0.35">
      <c r="A87" t="s">
        <v>39</v>
      </c>
      <c r="B87" t="s">
        <v>958</v>
      </c>
      <c r="C87" t="s">
        <v>72</v>
      </c>
      <c r="D87" t="s">
        <v>555</v>
      </c>
      <c r="E87" s="2" t="s">
        <v>961</v>
      </c>
      <c r="F87" s="2" t="s">
        <v>961</v>
      </c>
      <c r="G87" s="2" t="s">
        <v>962</v>
      </c>
      <c r="H87" s="2" t="s">
        <v>962</v>
      </c>
      <c r="I87" s="2" t="s">
        <v>573</v>
      </c>
      <c r="J87" s="2" t="s">
        <v>573</v>
      </c>
      <c r="K87" s="2">
        <v>2.35</v>
      </c>
      <c r="L87" s="2">
        <v>2.35</v>
      </c>
      <c r="M87" s="2" t="s">
        <v>966</v>
      </c>
      <c r="N87" s="2" t="s">
        <v>966</v>
      </c>
      <c r="O87" s="2" t="s">
        <v>967</v>
      </c>
      <c r="P87" s="2" t="s">
        <v>967</v>
      </c>
      <c r="Q87" t="e">
        <f t="shared" si="1"/>
        <v>#VALUE!</v>
      </c>
    </row>
    <row r="88" spans="1:17" x14ac:dyDescent="0.35">
      <c r="A88" t="s">
        <v>39</v>
      </c>
      <c r="B88" t="s">
        <v>969</v>
      </c>
      <c r="C88" t="s">
        <v>72</v>
      </c>
      <c r="D88" t="s">
        <v>555</v>
      </c>
      <c r="E88" s="2" t="s">
        <v>52</v>
      </c>
      <c r="F88" s="2" t="s">
        <v>52</v>
      </c>
      <c r="G88" s="2" t="s">
        <v>52</v>
      </c>
      <c r="H88" s="2" t="s">
        <v>52</v>
      </c>
      <c r="I88" s="2" t="s">
        <v>52</v>
      </c>
      <c r="J88" s="2" t="s">
        <v>52</v>
      </c>
      <c r="K88" s="2">
        <v>0</v>
      </c>
      <c r="L88" s="2">
        <v>0</v>
      </c>
      <c r="M88" s="2" t="s">
        <v>52</v>
      </c>
      <c r="N88" s="2" t="s">
        <v>52</v>
      </c>
      <c r="O88" s="2" t="s">
        <v>52</v>
      </c>
      <c r="P88" s="2" t="s">
        <v>52</v>
      </c>
      <c r="Q88" t="e">
        <f t="shared" si="1"/>
        <v>#VALUE!</v>
      </c>
    </row>
    <row r="89" spans="1:17" x14ac:dyDescent="0.35">
      <c r="A89" t="s">
        <v>39</v>
      </c>
      <c r="B89" t="s">
        <v>975</v>
      </c>
      <c r="C89" t="s">
        <v>72</v>
      </c>
      <c r="D89" t="s">
        <v>555</v>
      </c>
      <c r="E89" s="2" t="s">
        <v>979</v>
      </c>
      <c r="F89" s="2" t="s">
        <v>980</v>
      </c>
      <c r="G89" s="2" t="s">
        <v>980</v>
      </c>
      <c r="H89" s="2" t="s">
        <v>981</v>
      </c>
      <c r="I89" s="2" t="s">
        <v>983</v>
      </c>
      <c r="J89" s="2" t="s">
        <v>786</v>
      </c>
      <c r="K89" s="2">
        <v>1.45</v>
      </c>
      <c r="L89" s="2">
        <v>2.84</v>
      </c>
      <c r="M89" s="2" t="s">
        <v>985</v>
      </c>
      <c r="N89" s="2" t="s">
        <v>986</v>
      </c>
      <c r="O89" s="2" t="s">
        <v>986</v>
      </c>
      <c r="P89" s="2" t="s">
        <v>987</v>
      </c>
      <c r="Q89" t="e">
        <f t="shared" si="1"/>
        <v>#VALUE!</v>
      </c>
    </row>
    <row r="90" spans="1:17" x14ac:dyDescent="0.35">
      <c r="A90" t="s">
        <v>39</v>
      </c>
      <c r="B90" t="s">
        <v>988</v>
      </c>
      <c r="C90" t="s">
        <v>72</v>
      </c>
      <c r="D90" t="s">
        <v>555</v>
      </c>
      <c r="E90" s="2" t="s">
        <v>991</v>
      </c>
      <c r="F90" s="2" t="s">
        <v>914</v>
      </c>
      <c r="G90" s="2" t="s">
        <v>992</v>
      </c>
      <c r="H90" s="2" t="s">
        <v>993</v>
      </c>
      <c r="I90" s="2" t="s">
        <v>998</v>
      </c>
      <c r="J90" s="2" t="s">
        <v>919</v>
      </c>
      <c r="K90" s="2">
        <v>46.09</v>
      </c>
      <c r="L90" s="2">
        <v>43.38</v>
      </c>
      <c r="M90" s="2" t="s">
        <v>1003</v>
      </c>
      <c r="N90" s="2" t="s">
        <v>1004</v>
      </c>
      <c r="O90" s="2" t="s">
        <v>1005</v>
      </c>
      <c r="P90" s="2" t="s">
        <v>1006</v>
      </c>
      <c r="Q90" t="e">
        <f t="shared" si="1"/>
        <v>#VALUE!</v>
      </c>
    </row>
    <row r="91" spans="1:17" x14ac:dyDescent="0.35">
      <c r="A91" t="s">
        <v>39</v>
      </c>
      <c r="B91" t="s">
        <v>1010</v>
      </c>
      <c r="C91" t="s">
        <v>72</v>
      </c>
      <c r="D91" t="s">
        <v>555</v>
      </c>
      <c r="E91" s="2" t="s">
        <v>1013</v>
      </c>
      <c r="F91" s="2" t="s">
        <v>1014</v>
      </c>
      <c r="G91" s="2" t="s">
        <v>1015</v>
      </c>
      <c r="H91" s="2" t="s">
        <v>1015</v>
      </c>
      <c r="I91" s="2" t="s">
        <v>801</v>
      </c>
      <c r="J91" s="2" t="s">
        <v>712</v>
      </c>
      <c r="K91" s="2">
        <v>4.3600000000000003</v>
      </c>
      <c r="L91" s="2">
        <v>4.3600000000000003</v>
      </c>
      <c r="M91" s="2" t="s">
        <v>1022</v>
      </c>
      <c r="N91" s="2" t="s">
        <v>1023</v>
      </c>
      <c r="O91" s="2" t="s">
        <v>1024</v>
      </c>
      <c r="P91" s="2" t="s">
        <v>1024</v>
      </c>
      <c r="Q91" t="e">
        <f t="shared" si="1"/>
        <v>#VALUE!</v>
      </c>
    </row>
    <row r="92" spans="1:17" x14ac:dyDescent="0.35">
      <c r="A92" t="s">
        <v>39</v>
      </c>
      <c r="B92" t="s">
        <v>1027</v>
      </c>
      <c r="C92" t="s">
        <v>72</v>
      </c>
      <c r="D92" t="s">
        <v>555</v>
      </c>
      <c r="E92" s="2" t="s">
        <v>1031</v>
      </c>
      <c r="F92" s="2" t="s">
        <v>1032</v>
      </c>
      <c r="G92" s="2" t="s">
        <v>1033</v>
      </c>
      <c r="H92" s="2" t="s">
        <v>1033</v>
      </c>
      <c r="I92" s="2" t="s">
        <v>1037</v>
      </c>
      <c r="J92" s="2" t="s">
        <v>1038</v>
      </c>
      <c r="K92" s="2">
        <v>127.41</v>
      </c>
      <c r="L92" s="2">
        <v>127.41</v>
      </c>
      <c r="M92" s="2" t="s">
        <v>1042</v>
      </c>
      <c r="N92" s="2" t="s">
        <v>1043</v>
      </c>
      <c r="O92" s="2" t="s">
        <v>1044</v>
      </c>
      <c r="P92" s="2" t="s">
        <v>1044</v>
      </c>
      <c r="Q92" t="e">
        <f t="shared" si="1"/>
        <v>#VALUE!</v>
      </c>
    </row>
    <row r="93" spans="1:17" x14ac:dyDescent="0.35">
      <c r="A93" t="s">
        <v>39</v>
      </c>
      <c r="B93" t="s">
        <v>1047</v>
      </c>
      <c r="C93" t="s">
        <v>72</v>
      </c>
      <c r="D93" t="s">
        <v>555</v>
      </c>
      <c r="E93" s="2" t="s">
        <v>1050</v>
      </c>
      <c r="F93" s="2" t="s">
        <v>1051</v>
      </c>
      <c r="G93" s="2" t="s">
        <v>1052</v>
      </c>
      <c r="H93" s="2" t="s">
        <v>1052</v>
      </c>
      <c r="I93" s="2" t="s">
        <v>1055</v>
      </c>
      <c r="J93" s="2" t="s">
        <v>1056</v>
      </c>
      <c r="K93" s="2">
        <v>13.51</v>
      </c>
      <c r="L93" s="2">
        <v>13.51</v>
      </c>
      <c r="M93" s="2" t="s">
        <v>1059</v>
      </c>
      <c r="N93" s="2" t="s">
        <v>1060</v>
      </c>
      <c r="O93" s="2" t="s">
        <v>1061</v>
      </c>
      <c r="P93" s="2" t="s">
        <v>1061</v>
      </c>
      <c r="Q93" t="e">
        <f t="shared" si="1"/>
        <v>#VALUE!</v>
      </c>
    </row>
    <row r="94" spans="1:17" x14ac:dyDescent="0.35">
      <c r="A94" t="s">
        <v>39</v>
      </c>
      <c r="B94" t="s">
        <v>1063</v>
      </c>
      <c r="C94" t="s">
        <v>72</v>
      </c>
      <c r="D94" t="s">
        <v>1076</v>
      </c>
      <c r="E94" s="2" t="s">
        <v>1067</v>
      </c>
      <c r="F94" s="2" t="s">
        <v>1068</v>
      </c>
      <c r="G94" s="2" t="s">
        <v>1069</v>
      </c>
      <c r="H94" s="2" t="s">
        <v>1069</v>
      </c>
      <c r="I94" s="2" t="s">
        <v>1071</v>
      </c>
      <c r="J94" s="2" t="s">
        <v>982</v>
      </c>
      <c r="K94" s="2">
        <v>1.88</v>
      </c>
      <c r="L94" s="2">
        <v>1.88</v>
      </c>
      <c r="M94" s="2" t="s">
        <v>1073</v>
      </c>
      <c r="N94" s="2" t="s">
        <v>1074</v>
      </c>
      <c r="O94" s="2" t="s">
        <v>1075</v>
      </c>
      <c r="P94" s="2" t="s">
        <v>1075</v>
      </c>
      <c r="Q94" t="e">
        <f t="shared" si="1"/>
        <v>#VALUE!</v>
      </c>
    </row>
    <row r="95" spans="1:17" x14ac:dyDescent="0.35">
      <c r="A95" t="s">
        <v>39</v>
      </c>
      <c r="B95" t="s">
        <v>1077</v>
      </c>
      <c r="C95" t="s">
        <v>72</v>
      </c>
      <c r="D95" t="s">
        <v>1076</v>
      </c>
      <c r="E95" s="2" t="s">
        <v>772</v>
      </c>
      <c r="F95" s="2" t="s">
        <v>1080</v>
      </c>
      <c r="G95" s="2" t="s">
        <v>1081</v>
      </c>
      <c r="H95" s="2" t="s">
        <v>1081</v>
      </c>
      <c r="I95" s="2" t="s">
        <v>786</v>
      </c>
      <c r="J95" s="2" t="s">
        <v>1082</v>
      </c>
      <c r="K95" s="2">
        <v>0.94</v>
      </c>
      <c r="L95" s="2">
        <v>0.94</v>
      </c>
      <c r="M95" s="2" t="s">
        <v>1084</v>
      </c>
      <c r="N95" s="2" t="s">
        <v>1085</v>
      </c>
      <c r="O95" s="2" t="s">
        <v>1086</v>
      </c>
      <c r="P95" s="2" t="s">
        <v>1086</v>
      </c>
      <c r="Q95" t="e">
        <f t="shared" si="1"/>
        <v>#VALUE!</v>
      </c>
    </row>
    <row r="96" spans="1:17" x14ac:dyDescent="0.35">
      <c r="A96" t="s">
        <v>39</v>
      </c>
      <c r="B96" t="s">
        <v>1087</v>
      </c>
      <c r="C96" t="s">
        <v>72</v>
      </c>
      <c r="D96" t="s">
        <v>1076</v>
      </c>
      <c r="E96" s="2" t="s">
        <v>166</v>
      </c>
      <c r="F96" s="2" t="s">
        <v>166</v>
      </c>
      <c r="G96" s="2" t="s">
        <v>1090</v>
      </c>
      <c r="H96" s="2" t="s">
        <v>1090</v>
      </c>
      <c r="I96" s="2" t="s">
        <v>561</v>
      </c>
      <c r="J96" s="2" t="s">
        <v>561</v>
      </c>
      <c r="K96" s="2">
        <v>0.69</v>
      </c>
      <c r="L96" s="2">
        <v>0.69</v>
      </c>
      <c r="M96" s="2" t="s">
        <v>1096</v>
      </c>
      <c r="N96" s="2" t="s">
        <v>1096</v>
      </c>
      <c r="O96" s="2" t="s">
        <v>1097</v>
      </c>
      <c r="P96" s="2" t="s">
        <v>1097</v>
      </c>
      <c r="Q96" t="e">
        <f t="shared" si="1"/>
        <v>#VALUE!</v>
      </c>
    </row>
    <row r="97" spans="1:17" x14ac:dyDescent="0.35">
      <c r="A97" t="s">
        <v>39</v>
      </c>
      <c r="B97" t="s">
        <v>1100</v>
      </c>
      <c r="C97" t="s">
        <v>72</v>
      </c>
      <c r="D97" t="s">
        <v>1076</v>
      </c>
      <c r="E97" s="2" t="s">
        <v>1103</v>
      </c>
      <c r="F97" s="2" t="s">
        <v>1104</v>
      </c>
      <c r="G97" s="2" t="s">
        <v>523</v>
      </c>
      <c r="H97" s="2" t="s">
        <v>523</v>
      </c>
      <c r="I97" s="2" t="s">
        <v>561</v>
      </c>
      <c r="J97" s="2" t="s">
        <v>1106</v>
      </c>
      <c r="K97" s="2">
        <v>0.47</v>
      </c>
      <c r="L97" s="2">
        <v>0.47</v>
      </c>
      <c r="M97" s="2" t="s">
        <v>1096</v>
      </c>
      <c r="N97" s="2" t="s">
        <v>1108</v>
      </c>
      <c r="O97" s="2" t="s">
        <v>1109</v>
      </c>
      <c r="P97" s="2" t="s">
        <v>1109</v>
      </c>
      <c r="Q97" t="e">
        <f t="shared" si="1"/>
        <v>#VALUE!</v>
      </c>
    </row>
    <row r="98" spans="1:17" x14ac:dyDescent="0.35">
      <c r="A98" t="s">
        <v>39</v>
      </c>
      <c r="B98" t="s">
        <v>1110</v>
      </c>
      <c r="C98" t="s">
        <v>72</v>
      </c>
      <c r="D98" t="s">
        <v>555</v>
      </c>
      <c r="E98" s="2" t="s">
        <v>52</v>
      </c>
      <c r="F98" s="2" t="s">
        <v>52</v>
      </c>
      <c r="G98" s="2" t="s">
        <v>52</v>
      </c>
      <c r="H98" s="2" t="s">
        <v>52</v>
      </c>
      <c r="I98" s="2" t="s">
        <v>52</v>
      </c>
      <c r="J98" s="2" t="s">
        <v>52</v>
      </c>
      <c r="K98" s="2">
        <v>0</v>
      </c>
      <c r="L98" s="2">
        <v>0</v>
      </c>
      <c r="M98" s="2" t="s">
        <v>52</v>
      </c>
      <c r="N98" s="2" t="s">
        <v>52</v>
      </c>
      <c r="O98" s="2" t="s">
        <v>52</v>
      </c>
      <c r="P98" s="2" t="s">
        <v>52</v>
      </c>
      <c r="Q98" t="e">
        <f t="shared" si="1"/>
        <v>#VALUE!</v>
      </c>
    </row>
    <row r="99" spans="1:17" x14ac:dyDescent="0.35">
      <c r="A99" t="s">
        <v>39</v>
      </c>
      <c r="B99" t="s">
        <v>1115</v>
      </c>
      <c r="C99" t="s">
        <v>72</v>
      </c>
      <c r="D99" t="s">
        <v>555</v>
      </c>
      <c r="E99" s="2" t="s">
        <v>52</v>
      </c>
      <c r="F99" s="2" t="s">
        <v>52</v>
      </c>
      <c r="G99" s="2" t="s">
        <v>52</v>
      </c>
      <c r="H99" s="2" t="s">
        <v>52</v>
      </c>
      <c r="I99" s="2" t="s">
        <v>52</v>
      </c>
      <c r="J99" s="2" t="s">
        <v>52</v>
      </c>
      <c r="K99" s="2">
        <v>0</v>
      </c>
      <c r="L99" s="2">
        <v>0</v>
      </c>
      <c r="M99" s="2" t="s">
        <v>52</v>
      </c>
      <c r="N99" s="2" t="s">
        <v>52</v>
      </c>
      <c r="O99" s="2" t="s">
        <v>52</v>
      </c>
      <c r="P99" s="2" t="s">
        <v>52</v>
      </c>
      <c r="Q99" t="e">
        <f t="shared" si="1"/>
        <v>#VALUE!</v>
      </c>
    </row>
    <row r="100" spans="1:17" x14ac:dyDescent="0.35">
      <c r="A100" t="s">
        <v>39</v>
      </c>
      <c r="B100" t="s">
        <v>1120</v>
      </c>
      <c r="C100" t="s">
        <v>72</v>
      </c>
      <c r="D100" t="s">
        <v>555</v>
      </c>
      <c r="E100" s="2" t="s">
        <v>52</v>
      </c>
      <c r="F100" s="2" t="s">
        <v>52</v>
      </c>
      <c r="G100" s="2" t="s">
        <v>52</v>
      </c>
      <c r="H100" s="2" t="s">
        <v>52</v>
      </c>
      <c r="I100" s="2" t="s">
        <v>52</v>
      </c>
      <c r="J100" s="2" t="s">
        <v>52</v>
      </c>
      <c r="K100" s="2">
        <v>0</v>
      </c>
      <c r="L100" s="2">
        <v>0</v>
      </c>
      <c r="M100" s="2" t="s">
        <v>52</v>
      </c>
      <c r="N100" s="2" t="s">
        <v>52</v>
      </c>
      <c r="O100" s="2" t="s">
        <v>52</v>
      </c>
      <c r="P100" s="2" t="s">
        <v>52</v>
      </c>
      <c r="Q100" t="e">
        <f t="shared" si="1"/>
        <v>#VALUE!</v>
      </c>
    </row>
    <row r="101" spans="1:17" x14ac:dyDescent="0.35">
      <c r="A101" t="s">
        <v>39</v>
      </c>
      <c r="B101" t="s">
        <v>1124</v>
      </c>
      <c r="C101" t="s">
        <v>72</v>
      </c>
      <c r="D101" t="s">
        <v>555</v>
      </c>
      <c r="E101" s="2" t="s">
        <v>52</v>
      </c>
      <c r="F101" s="2" t="s">
        <v>52</v>
      </c>
      <c r="G101" s="2" t="s">
        <v>52</v>
      </c>
      <c r="H101" s="2" t="s">
        <v>52</v>
      </c>
      <c r="I101" s="2" t="s">
        <v>52</v>
      </c>
      <c r="J101" s="2" t="s">
        <v>52</v>
      </c>
      <c r="K101" s="2">
        <v>0</v>
      </c>
      <c r="L101" s="2">
        <v>0</v>
      </c>
      <c r="M101" s="2" t="s">
        <v>52</v>
      </c>
      <c r="N101" s="2" t="s">
        <v>52</v>
      </c>
      <c r="O101" s="2" t="s">
        <v>52</v>
      </c>
      <c r="P101" s="2" t="s">
        <v>52</v>
      </c>
      <c r="Q101" t="e">
        <f t="shared" si="1"/>
        <v>#VALUE!</v>
      </c>
    </row>
    <row r="102" spans="1:17" x14ac:dyDescent="0.35">
      <c r="A102" t="s">
        <v>39</v>
      </c>
      <c r="B102" t="s">
        <v>1129</v>
      </c>
      <c r="C102" t="s">
        <v>72</v>
      </c>
      <c r="D102" t="s">
        <v>1076</v>
      </c>
      <c r="E102" s="2" t="s">
        <v>166</v>
      </c>
      <c r="F102" s="2" t="s">
        <v>1132</v>
      </c>
      <c r="G102" s="2" t="s">
        <v>1133</v>
      </c>
      <c r="H102" s="2" t="s">
        <v>1133</v>
      </c>
      <c r="I102" s="2" t="s">
        <v>1135</v>
      </c>
      <c r="J102" s="2" t="s">
        <v>704</v>
      </c>
      <c r="K102" s="2">
        <v>1.1399999999999999</v>
      </c>
      <c r="L102" s="2">
        <v>1.1399999999999999</v>
      </c>
      <c r="M102" s="2" t="s">
        <v>1138</v>
      </c>
      <c r="N102" s="2" t="s">
        <v>1139</v>
      </c>
      <c r="O102" s="2" t="s">
        <v>1140</v>
      </c>
      <c r="P102" s="2" t="s">
        <v>1140</v>
      </c>
      <c r="Q102" t="e">
        <f t="shared" si="1"/>
        <v>#VALUE!</v>
      </c>
    </row>
    <row r="103" spans="1:17" x14ac:dyDescent="0.35">
      <c r="A103" t="s">
        <v>39</v>
      </c>
      <c r="B103" t="s">
        <v>1142</v>
      </c>
      <c r="C103" t="s">
        <v>72</v>
      </c>
      <c r="D103" t="s">
        <v>1076</v>
      </c>
      <c r="E103" s="2" t="s">
        <v>335</v>
      </c>
      <c r="F103" s="2" t="s">
        <v>1145</v>
      </c>
      <c r="G103" s="2" t="s">
        <v>1146</v>
      </c>
      <c r="H103" s="2" t="s">
        <v>1146</v>
      </c>
      <c r="I103" s="2" t="s">
        <v>1147</v>
      </c>
      <c r="J103" s="2" t="s">
        <v>1105</v>
      </c>
      <c r="K103" s="2">
        <v>0.62</v>
      </c>
      <c r="L103" s="2">
        <v>0.62</v>
      </c>
      <c r="M103" s="2" t="s">
        <v>1149</v>
      </c>
      <c r="N103" s="2" t="s">
        <v>1150</v>
      </c>
      <c r="O103" s="2" t="s">
        <v>1151</v>
      </c>
      <c r="P103" s="2" t="s">
        <v>1151</v>
      </c>
      <c r="Q103" t="e">
        <f t="shared" si="1"/>
        <v>#VALUE!</v>
      </c>
    </row>
    <row r="104" spans="1:17" x14ac:dyDescent="0.35">
      <c r="A104" t="s">
        <v>39</v>
      </c>
      <c r="B104" t="s">
        <v>1152</v>
      </c>
      <c r="C104" t="s">
        <v>72</v>
      </c>
      <c r="D104" t="s">
        <v>1170</v>
      </c>
      <c r="E104" s="2" t="s">
        <v>223</v>
      </c>
      <c r="F104" s="2" t="s">
        <v>1158</v>
      </c>
      <c r="G104" s="2" t="s">
        <v>1159</v>
      </c>
      <c r="H104" s="2" t="s">
        <v>1159</v>
      </c>
      <c r="I104" s="2" t="s">
        <v>1162</v>
      </c>
      <c r="J104" s="2" t="s">
        <v>1163</v>
      </c>
      <c r="K104" s="2">
        <v>4.3499999999999996</v>
      </c>
      <c r="L104" s="2">
        <v>4.3499999999999996</v>
      </c>
      <c r="M104" s="2" t="s">
        <v>1166</v>
      </c>
      <c r="N104" s="2" t="s">
        <v>1167</v>
      </c>
      <c r="O104" s="2" t="s">
        <v>1168</v>
      </c>
      <c r="P104" s="2" t="s">
        <v>1168</v>
      </c>
      <c r="Q104" t="e">
        <f t="shared" si="1"/>
        <v>#VALUE!</v>
      </c>
    </row>
    <row r="105" spans="1:17" x14ac:dyDescent="0.35">
      <c r="A105" t="s">
        <v>39</v>
      </c>
      <c r="B105" t="s">
        <v>1171</v>
      </c>
      <c r="C105" t="s">
        <v>72</v>
      </c>
      <c r="D105" t="s">
        <v>1180</v>
      </c>
      <c r="E105" s="2" t="s">
        <v>52</v>
      </c>
      <c r="F105" s="2" t="s">
        <v>52</v>
      </c>
      <c r="G105" s="2" t="s">
        <v>52</v>
      </c>
      <c r="H105" s="2" t="s">
        <v>52</v>
      </c>
      <c r="I105" s="2" t="s">
        <v>52</v>
      </c>
      <c r="J105" s="2" t="s">
        <v>52</v>
      </c>
      <c r="K105" s="2">
        <v>0</v>
      </c>
      <c r="L105" s="2">
        <v>0</v>
      </c>
      <c r="M105" s="2" t="s">
        <v>52</v>
      </c>
      <c r="N105" s="2" t="s">
        <v>52</v>
      </c>
      <c r="O105" s="2" t="s">
        <v>52</v>
      </c>
      <c r="P105" s="2" t="s">
        <v>52</v>
      </c>
      <c r="Q105" t="e">
        <f t="shared" si="1"/>
        <v>#VALUE!</v>
      </c>
    </row>
    <row r="106" spans="1:17" x14ac:dyDescent="0.35">
      <c r="A106" t="s">
        <v>39</v>
      </c>
      <c r="B106" t="s">
        <v>1181</v>
      </c>
      <c r="C106" t="s">
        <v>72</v>
      </c>
      <c r="D106" t="s">
        <v>555</v>
      </c>
      <c r="E106" s="2" t="s">
        <v>1184</v>
      </c>
      <c r="F106" s="2" t="s">
        <v>1185</v>
      </c>
      <c r="G106" s="2" t="s">
        <v>1186</v>
      </c>
      <c r="H106" s="2" t="s">
        <v>1186</v>
      </c>
      <c r="I106" s="2" t="s">
        <v>1188</v>
      </c>
      <c r="J106" s="2" t="s">
        <v>1189</v>
      </c>
      <c r="K106" s="2">
        <v>9.26</v>
      </c>
      <c r="L106" s="2">
        <v>9.26</v>
      </c>
      <c r="M106" s="2" t="s">
        <v>1191</v>
      </c>
      <c r="N106" s="2" t="s">
        <v>1192</v>
      </c>
      <c r="O106" s="2" t="s">
        <v>1193</v>
      </c>
      <c r="P106" s="2" t="s">
        <v>1193</v>
      </c>
      <c r="Q106" t="e">
        <f t="shared" si="1"/>
        <v>#VALUE!</v>
      </c>
    </row>
    <row r="107" spans="1:17" x14ac:dyDescent="0.35">
      <c r="A107" t="s">
        <v>39</v>
      </c>
      <c r="B107" t="s">
        <v>1194</v>
      </c>
      <c r="C107" t="s">
        <v>72</v>
      </c>
      <c r="D107" t="s">
        <v>555</v>
      </c>
      <c r="E107" s="2" t="s">
        <v>1197</v>
      </c>
      <c r="F107" s="2" t="s">
        <v>1198</v>
      </c>
      <c r="G107" s="2" t="s">
        <v>1199</v>
      </c>
      <c r="H107" s="2" t="s">
        <v>1199</v>
      </c>
      <c r="I107" s="2" t="s">
        <v>1136</v>
      </c>
      <c r="J107" s="2" t="s">
        <v>1203</v>
      </c>
      <c r="K107" s="2">
        <v>1.46</v>
      </c>
      <c r="L107" s="2">
        <v>1.46</v>
      </c>
      <c r="M107" s="2" t="s">
        <v>1206</v>
      </c>
      <c r="N107" s="2" t="s">
        <v>1207</v>
      </c>
      <c r="O107" s="2" t="s">
        <v>1208</v>
      </c>
      <c r="P107" s="2" t="s">
        <v>1208</v>
      </c>
      <c r="Q107" t="e">
        <f t="shared" si="1"/>
        <v>#VALUE!</v>
      </c>
    </row>
    <row r="108" spans="1:17" x14ac:dyDescent="0.35">
      <c r="A108" t="s">
        <v>39</v>
      </c>
      <c r="B108" t="s">
        <v>1211</v>
      </c>
      <c r="C108" t="s">
        <v>72</v>
      </c>
      <c r="D108" t="s">
        <v>555</v>
      </c>
      <c r="E108" s="2" t="s">
        <v>1214</v>
      </c>
      <c r="F108" s="2" t="s">
        <v>1215</v>
      </c>
      <c r="G108" s="2" t="s">
        <v>1216</v>
      </c>
      <c r="H108" s="2" t="s">
        <v>1216</v>
      </c>
      <c r="I108" s="2" t="s">
        <v>180</v>
      </c>
      <c r="J108" s="2" t="s">
        <v>1220</v>
      </c>
      <c r="K108" s="2">
        <v>0.8</v>
      </c>
      <c r="L108" s="2">
        <v>0.8</v>
      </c>
      <c r="M108" s="2" t="s">
        <v>1223</v>
      </c>
      <c r="N108" s="2" t="s">
        <v>1224</v>
      </c>
      <c r="O108" s="2" t="s">
        <v>1225</v>
      </c>
      <c r="P108" s="2" t="s">
        <v>1225</v>
      </c>
      <c r="Q108" t="e">
        <f t="shared" si="1"/>
        <v>#VALUE!</v>
      </c>
    </row>
    <row r="109" spans="1:17" x14ac:dyDescent="0.35">
      <c r="A109" t="s">
        <v>39</v>
      </c>
      <c r="B109" t="s">
        <v>1228</v>
      </c>
      <c r="C109" t="s">
        <v>72</v>
      </c>
      <c r="D109" t="s">
        <v>117</v>
      </c>
      <c r="E109" s="2" t="s">
        <v>1231</v>
      </c>
      <c r="F109" s="2" t="s">
        <v>1232</v>
      </c>
      <c r="G109" s="2" t="s">
        <v>1233</v>
      </c>
      <c r="H109" s="2" t="s">
        <v>1234</v>
      </c>
      <c r="I109" s="2" t="s">
        <v>1238</v>
      </c>
      <c r="J109" s="2" t="s">
        <v>1239</v>
      </c>
      <c r="K109" s="2">
        <v>8.24</v>
      </c>
      <c r="L109" s="2">
        <v>8.5</v>
      </c>
      <c r="M109" s="2" t="s">
        <v>1242</v>
      </c>
      <c r="N109" s="2" t="s">
        <v>1243</v>
      </c>
      <c r="O109" s="2" t="s">
        <v>1244</v>
      </c>
      <c r="P109" s="2" t="s">
        <v>1245</v>
      </c>
      <c r="Q109" t="e">
        <f t="shared" si="1"/>
        <v>#VALUE!</v>
      </c>
    </row>
    <row r="110" spans="1:17" x14ac:dyDescent="0.35">
      <c r="A110" t="s">
        <v>39</v>
      </c>
      <c r="B110" t="s">
        <v>1248</v>
      </c>
      <c r="C110" t="s">
        <v>72</v>
      </c>
      <c r="D110" t="s">
        <v>117</v>
      </c>
      <c r="E110" s="2" t="s">
        <v>164</v>
      </c>
      <c r="F110" s="2" t="s">
        <v>1251</v>
      </c>
      <c r="G110" s="2" t="s">
        <v>1251</v>
      </c>
      <c r="H110" s="2" t="s">
        <v>1252</v>
      </c>
      <c r="I110" s="2" t="s">
        <v>1254</v>
      </c>
      <c r="J110" s="2" t="s">
        <v>1255</v>
      </c>
      <c r="K110" s="2">
        <v>0.36</v>
      </c>
      <c r="L110" s="2">
        <v>0.24</v>
      </c>
      <c r="M110" s="2" t="s">
        <v>1257</v>
      </c>
      <c r="N110" s="2" t="s">
        <v>521</v>
      </c>
      <c r="O110" s="2" t="s">
        <v>521</v>
      </c>
      <c r="P110" s="2" t="s">
        <v>730</v>
      </c>
      <c r="Q110" t="e">
        <f t="shared" si="1"/>
        <v>#VALUE!</v>
      </c>
    </row>
    <row r="111" spans="1:17" x14ac:dyDescent="0.35">
      <c r="A111" t="s">
        <v>39</v>
      </c>
      <c r="B111" t="s">
        <v>1258</v>
      </c>
      <c r="C111" t="s">
        <v>72</v>
      </c>
      <c r="D111" t="s">
        <v>117</v>
      </c>
      <c r="E111" s="2" t="s">
        <v>1262</v>
      </c>
      <c r="F111" s="2" t="s">
        <v>1263</v>
      </c>
      <c r="G111" s="2" t="s">
        <v>1264</v>
      </c>
      <c r="H111" s="2" t="s">
        <v>1264</v>
      </c>
      <c r="I111" s="2" t="s">
        <v>226</v>
      </c>
      <c r="J111" s="2" t="s">
        <v>1265</v>
      </c>
      <c r="K111" s="2">
        <v>0.14000000000000001</v>
      </c>
      <c r="L111" s="2">
        <v>0.14000000000000001</v>
      </c>
      <c r="M111" s="2" t="s">
        <v>1267</v>
      </c>
      <c r="N111" s="2" t="s">
        <v>1268</v>
      </c>
      <c r="O111" s="2" t="s">
        <v>800</v>
      </c>
      <c r="P111" s="2" t="s">
        <v>800</v>
      </c>
      <c r="Q111" t="e">
        <f t="shared" si="1"/>
        <v>#VALUE!</v>
      </c>
    </row>
    <row r="112" spans="1:17" x14ac:dyDescent="0.35">
      <c r="A112" t="s">
        <v>39</v>
      </c>
      <c r="B112" t="s">
        <v>1269</v>
      </c>
      <c r="C112" t="s">
        <v>72</v>
      </c>
      <c r="D112" t="s">
        <v>117</v>
      </c>
      <c r="E112" s="2" t="s">
        <v>1273</v>
      </c>
      <c r="F112" s="2" t="s">
        <v>1274</v>
      </c>
      <c r="G112" s="2" t="s">
        <v>1275</v>
      </c>
      <c r="H112" s="2" t="s">
        <v>1276</v>
      </c>
      <c r="I112" s="2" t="s">
        <v>1280</v>
      </c>
      <c r="J112" s="2" t="s">
        <v>1281</v>
      </c>
      <c r="K112" s="2">
        <v>5.63</v>
      </c>
      <c r="L112" s="2">
        <v>6.62</v>
      </c>
      <c r="M112" s="2" t="s">
        <v>1286</v>
      </c>
      <c r="N112" s="2" t="s">
        <v>1287</v>
      </c>
      <c r="O112" s="2" t="s">
        <v>1288</v>
      </c>
      <c r="P112" s="2" t="s">
        <v>1289</v>
      </c>
      <c r="Q112" t="e">
        <f t="shared" si="1"/>
        <v>#VALUE!</v>
      </c>
    </row>
    <row r="113" spans="1:17" x14ac:dyDescent="0.35">
      <c r="A113" t="s">
        <v>39</v>
      </c>
      <c r="B113" t="s">
        <v>1293</v>
      </c>
      <c r="C113" t="s">
        <v>72</v>
      </c>
      <c r="D113" t="s">
        <v>117</v>
      </c>
      <c r="E113" s="2" t="s">
        <v>1296</v>
      </c>
      <c r="F113" s="2" t="s">
        <v>1297</v>
      </c>
      <c r="G113" s="2" t="s">
        <v>1298</v>
      </c>
      <c r="H113" s="2" t="s">
        <v>1299</v>
      </c>
      <c r="I113" s="2" t="s">
        <v>632</v>
      </c>
      <c r="J113" s="2" t="s">
        <v>1304</v>
      </c>
      <c r="K113" s="2">
        <v>3.68</v>
      </c>
      <c r="L113" s="2">
        <v>4.33</v>
      </c>
      <c r="M113" s="2" t="s">
        <v>1309</v>
      </c>
      <c r="N113" s="2" t="s">
        <v>1310</v>
      </c>
      <c r="O113" s="2" t="s">
        <v>1311</v>
      </c>
      <c r="P113" s="2" t="s">
        <v>1312</v>
      </c>
      <c r="Q113" t="e">
        <f t="shared" si="1"/>
        <v>#VALUE!</v>
      </c>
    </row>
    <row r="114" spans="1:17" x14ac:dyDescent="0.35">
      <c r="A114" t="s">
        <v>39</v>
      </c>
      <c r="B114" t="s">
        <v>1316</v>
      </c>
      <c r="C114" t="s">
        <v>72</v>
      </c>
      <c r="D114" t="s">
        <v>117</v>
      </c>
      <c r="E114" s="2" t="s">
        <v>165</v>
      </c>
      <c r="F114" s="2" t="s">
        <v>52</v>
      </c>
      <c r="G114" s="2" t="s">
        <v>52</v>
      </c>
      <c r="H114" s="2" t="s">
        <v>52</v>
      </c>
      <c r="I114" s="2" t="s">
        <v>1320</v>
      </c>
      <c r="J114" s="2" t="s">
        <v>52</v>
      </c>
      <c r="K114" s="2">
        <v>0</v>
      </c>
      <c r="L114" s="2">
        <v>0</v>
      </c>
      <c r="M114" s="2" t="s">
        <v>69</v>
      </c>
      <c r="N114" s="2" t="s">
        <v>52</v>
      </c>
      <c r="O114" s="2" t="s">
        <v>52</v>
      </c>
      <c r="P114" s="2" t="s">
        <v>52</v>
      </c>
      <c r="Q114" t="e">
        <f t="shared" si="1"/>
        <v>#VALUE!</v>
      </c>
    </row>
    <row r="115" spans="1:17" x14ac:dyDescent="0.35">
      <c r="A115" t="s">
        <v>39</v>
      </c>
      <c r="B115" t="s">
        <v>1322</v>
      </c>
      <c r="C115" t="s">
        <v>72</v>
      </c>
      <c r="D115" t="s">
        <v>117</v>
      </c>
      <c r="E115" s="2" t="s">
        <v>1325</v>
      </c>
      <c r="F115" s="2" t="s">
        <v>1326</v>
      </c>
      <c r="G115" s="2" t="s">
        <v>1327</v>
      </c>
      <c r="H115" s="2" t="s">
        <v>1328</v>
      </c>
      <c r="I115" s="2" t="s">
        <v>1329</v>
      </c>
      <c r="J115" s="2" t="s">
        <v>1330</v>
      </c>
      <c r="K115" s="2">
        <v>0.87</v>
      </c>
      <c r="L115" s="2">
        <v>1.07</v>
      </c>
      <c r="M115" s="2" t="s">
        <v>1332</v>
      </c>
      <c r="N115" s="2" t="s">
        <v>1333</v>
      </c>
      <c r="O115" s="2" t="s">
        <v>1334</v>
      </c>
      <c r="P115" s="2" t="s">
        <v>1335</v>
      </c>
      <c r="Q115" t="e">
        <f t="shared" si="1"/>
        <v>#VALUE!</v>
      </c>
    </row>
    <row r="116" spans="1:17" x14ac:dyDescent="0.35">
      <c r="A116" t="s">
        <v>39</v>
      </c>
      <c r="B116" t="s">
        <v>1336</v>
      </c>
      <c r="C116" t="s">
        <v>72</v>
      </c>
      <c r="D116" t="s">
        <v>117</v>
      </c>
      <c r="E116" s="2" t="s">
        <v>454</v>
      </c>
      <c r="F116" s="2" t="s">
        <v>344</v>
      </c>
      <c r="G116" s="2" t="s">
        <v>1339</v>
      </c>
      <c r="H116" s="2" t="s">
        <v>1339</v>
      </c>
      <c r="I116" s="2" t="s">
        <v>856</v>
      </c>
      <c r="J116" s="2" t="s">
        <v>1342</v>
      </c>
      <c r="K116" s="2">
        <v>1.03</v>
      </c>
      <c r="L116" s="2">
        <v>1.03</v>
      </c>
      <c r="M116" s="2" t="s">
        <v>1345</v>
      </c>
      <c r="N116" s="2" t="s">
        <v>1346</v>
      </c>
      <c r="O116" s="2" t="s">
        <v>1347</v>
      </c>
      <c r="P116" s="2" t="s">
        <v>1347</v>
      </c>
      <c r="Q116" t="e">
        <f t="shared" si="1"/>
        <v>#VALUE!</v>
      </c>
    </row>
    <row r="117" spans="1:17" x14ac:dyDescent="0.35">
      <c r="A117" t="s">
        <v>39</v>
      </c>
      <c r="B117" t="s">
        <v>1349</v>
      </c>
      <c r="C117" t="s">
        <v>72</v>
      </c>
      <c r="D117" t="s">
        <v>1361</v>
      </c>
      <c r="E117" s="2" t="s">
        <v>1354</v>
      </c>
      <c r="F117" s="2" t="s">
        <v>1355</v>
      </c>
      <c r="G117" s="2" t="s">
        <v>1355</v>
      </c>
      <c r="H117" s="2" t="s">
        <v>1355</v>
      </c>
      <c r="I117" s="2" t="s">
        <v>1357</v>
      </c>
      <c r="J117" s="2" t="s">
        <v>651</v>
      </c>
      <c r="K117" s="2">
        <v>2.5099999999999998</v>
      </c>
      <c r="L117" s="2">
        <v>2.5099999999999998</v>
      </c>
      <c r="M117" s="2" t="s">
        <v>1359</v>
      </c>
      <c r="N117" s="2" t="s">
        <v>1360</v>
      </c>
      <c r="O117" s="2" t="s">
        <v>1360</v>
      </c>
      <c r="P117" s="2" t="s">
        <v>1360</v>
      </c>
      <c r="Q117" t="e">
        <f t="shared" si="1"/>
        <v>#VALUE!</v>
      </c>
    </row>
    <row r="118" spans="1:17" x14ac:dyDescent="0.35">
      <c r="A118" t="s">
        <v>39</v>
      </c>
      <c r="B118" t="s">
        <v>1362</v>
      </c>
      <c r="C118" t="s">
        <v>72</v>
      </c>
      <c r="D118" t="s">
        <v>1361</v>
      </c>
      <c r="E118" s="2" t="s">
        <v>1365</v>
      </c>
      <c r="F118" s="2" t="s">
        <v>52</v>
      </c>
      <c r="G118" s="2" t="s">
        <v>52</v>
      </c>
      <c r="H118" s="2" t="s">
        <v>52</v>
      </c>
      <c r="I118" s="2" t="s">
        <v>704</v>
      </c>
      <c r="J118" s="2" t="s">
        <v>52</v>
      </c>
      <c r="K118" s="2">
        <v>0</v>
      </c>
      <c r="L118" s="2">
        <v>0</v>
      </c>
      <c r="M118" s="2" t="s">
        <v>1368</v>
      </c>
      <c r="N118" s="2" t="s">
        <v>52</v>
      </c>
      <c r="O118" s="2" t="s">
        <v>52</v>
      </c>
      <c r="P118" s="2" t="s">
        <v>52</v>
      </c>
      <c r="Q118" t="e">
        <f t="shared" si="1"/>
        <v>#VALUE!</v>
      </c>
    </row>
    <row r="119" spans="1:17" x14ac:dyDescent="0.35">
      <c r="A119" t="s">
        <v>39</v>
      </c>
      <c r="B119" t="s">
        <v>1369</v>
      </c>
      <c r="C119" t="s">
        <v>72</v>
      </c>
      <c r="D119" t="s">
        <v>1361</v>
      </c>
      <c r="E119" s="2" t="s">
        <v>1372</v>
      </c>
      <c r="F119" s="2" t="s">
        <v>1373</v>
      </c>
      <c r="G119" s="2" t="s">
        <v>1373</v>
      </c>
      <c r="H119" s="2" t="s">
        <v>1373</v>
      </c>
      <c r="I119" s="2" t="s">
        <v>1374</v>
      </c>
      <c r="J119" s="2" t="s">
        <v>561</v>
      </c>
      <c r="K119" s="2">
        <v>0.71</v>
      </c>
      <c r="L119" s="2">
        <v>0.71</v>
      </c>
      <c r="M119" s="2" t="s">
        <v>53</v>
      </c>
      <c r="N119" s="2" t="s">
        <v>1376</v>
      </c>
      <c r="O119" s="2" t="s">
        <v>1376</v>
      </c>
      <c r="P119" s="2" t="s">
        <v>1376</v>
      </c>
      <c r="Q119" t="e">
        <f t="shared" si="1"/>
        <v>#VALUE!</v>
      </c>
    </row>
    <row r="120" spans="1:17" x14ac:dyDescent="0.35">
      <c r="A120" t="s">
        <v>39</v>
      </c>
      <c r="B120" t="s">
        <v>1377</v>
      </c>
      <c r="C120" t="s">
        <v>72</v>
      </c>
      <c r="D120" t="s">
        <v>1361</v>
      </c>
      <c r="E120" s="2" t="s">
        <v>1380</v>
      </c>
      <c r="F120" s="2" t="s">
        <v>1381</v>
      </c>
      <c r="G120" s="2" t="s">
        <v>1382</v>
      </c>
      <c r="H120" s="2" t="s">
        <v>1382</v>
      </c>
      <c r="I120" s="2" t="s">
        <v>1383</v>
      </c>
      <c r="J120" s="2" t="s">
        <v>1384</v>
      </c>
      <c r="K120" s="2">
        <v>1.08</v>
      </c>
      <c r="L120" s="2">
        <v>1.08</v>
      </c>
      <c r="M120" s="2" t="s">
        <v>1386</v>
      </c>
      <c r="N120" s="2" t="s">
        <v>1387</v>
      </c>
      <c r="O120" s="2" t="s">
        <v>685</v>
      </c>
      <c r="P120" s="2" t="s">
        <v>685</v>
      </c>
      <c r="Q120" t="e">
        <f t="shared" si="1"/>
        <v>#VALUE!</v>
      </c>
    </row>
    <row r="121" spans="1:17" x14ac:dyDescent="0.35">
      <c r="A121" t="s">
        <v>39</v>
      </c>
      <c r="B121" t="s">
        <v>1388</v>
      </c>
      <c r="C121" t="s">
        <v>72</v>
      </c>
      <c r="D121" t="s">
        <v>1391</v>
      </c>
      <c r="E121" s="2" t="s">
        <v>410</v>
      </c>
      <c r="F121" s="2" t="s">
        <v>223</v>
      </c>
      <c r="G121" s="2" t="s">
        <v>1393</v>
      </c>
      <c r="H121" s="2" t="s">
        <v>52</v>
      </c>
      <c r="I121" s="2" t="s">
        <v>1395</v>
      </c>
      <c r="J121" s="2" t="s">
        <v>1396</v>
      </c>
      <c r="K121" s="2">
        <v>2.6</v>
      </c>
      <c r="L121" s="2">
        <v>0</v>
      </c>
      <c r="M121" s="2" t="s">
        <v>1398</v>
      </c>
      <c r="N121" s="2" t="s">
        <v>1399</v>
      </c>
      <c r="O121" s="2" t="s">
        <v>1400</v>
      </c>
      <c r="P121" s="2" t="s">
        <v>52</v>
      </c>
      <c r="Q121" t="e">
        <f t="shared" si="1"/>
        <v>#VALUE!</v>
      </c>
    </row>
    <row r="122" spans="1:17" x14ac:dyDescent="0.35">
      <c r="A122" t="s">
        <v>39</v>
      </c>
      <c r="B122" t="s">
        <v>1401</v>
      </c>
      <c r="C122" t="s">
        <v>72</v>
      </c>
      <c r="D122" t="s">
        <v>1391</v>
      </c>
      <c r="E122" s="2" t="s">
        <v>1404</v>
      </c>
      <c r="F122" s="2" t="s">
        <v>191</v>
      </c>
      <c r="G122" s="2" t="s">
        <v>1405</v>
      </c>
      <c r="H122" s="2" t="s">
        <v>52</v>
      </c>
      <c r="I122" s="2" t="s">
        <v>550</v>
      </c>
      <c r="J122" s="2" t="s">
        <v>178</v>
      </c>
      <c r="K122" s="2">
        <v>6.84</v>
      </c>
      <c r="L122" s="2">
        <v>0</v>
      </c>
      <c r="M122" s="2" t="s">
        <v>1408</v>
      </c>
      <c r="N122" s="2" t="s">
        <v>1409</v>
      </c>
      <c r="O122" s="2" t="s">
        <v>1410</v>
      </c>
      <c r="P122" s="2" t="s">
        <v>52</v>
      </c>
      <c r="Q122" t="e">
        <f t="shared" si="1"/>
        <v>#VALUE!</v>
      </c>
    </row>
    <row r="123" spans="1:17" x14ac:dyDescent="0.35">
      <c r="A123" t="s">
        <v>39</v>
      </c>
      <c r="B123" t="s">
        <v>1411</v>
      </c>
      <c r="C123" t="s">
        <v>72</v>
      </c>
      <c r="D123" t="s">
        <v>1414</v>
      </c>
      <c r="E123" s="2" t="s">
        <v>1416</v>
      </c>
      <c r="F123" s="2" t="s">
        <v>1340</v>
      </c>
      <c r="G123" s="2" t="s">
        <v>1417</v>
      </c>
      <c r="H123" s="2" t="s">
        <v>52</v>
      </c>
      <c r="I123" s="2" t="s">
        <v>1419</v>
      </c>
      <c r="J123" s="2" t="s">
        <v>1420</v>
      </c>
      <c r="K123" s="2">
        <v>12.71</v>
      </c>
      <c r="L123" s="2">
        <v>0</v>
      </c>
      <c r="M123" s="2" t="s">
        <v>1422</v>
      </c>
      <c r="N123" s="2" t="s">
        <v>1423</v>
      </c>
      <c r="O123" s="2" t="s">
        <v>1424</v>
      </c>
      <c r="P123" s="2" t="s">
        <v>52</v>
      </c>
      <c r="Q123" t="e">
        <f t="shared" si="1"/>
        <v>#VALUE!</v>
      </c>
    </row>
    <row r="124" spans="1:17" x14ac:dyDescent="0.35">
      <c r="A124" t="s">
        <v>39</v>
      </c>
      <c r="B124" t="s">
        <v>1425</v>
      </c>
      <c r="C124" t="s">
        <v>72</v>
      </c>
      <c r="D124" t="s">
        <v>284</v>
      </c>
      <c r="E124" s="2" t="s">
        <v>1428</v>
      </c>
      <c r="F124" s="2" t="s">
        <v>1340</v>
      </c>
      <c r="G124" s="2" t="s">
        <v>1429</v>
      </c>
      <c r="H124" s="2" t="s">
        <v>1430</v>
      </c>
      <c r="I124" s="2" t="s">
        <v>800</v>
      </c>
      <c r="J124" s="2" t="s">
        <v>1433</v>
      </c>
      <c r="K124" s="2">
        <v>3.15</v>
      </c>
      <c r="L124" s="2">
        <v>1.92</v>
      </c>
      <c r="M124" s="2" t="s">
        <v>1435</v>
      </c>
      <c r="N124" s="2" t="s">
        <v>1436</v>
      </c>
      <c r="O124" s="2" t="s">
        <v>1437</v>
      </c>
      <c r="P124" s="2" t="s">
        <v>1438</v>
      </c>
      <c r="Q124" t="e">
        <f t="shared" si="1"/>
        <v>#VALUE!</v>
      </c>
    </row>
    <row r="125" spans="1:17" x14ac:dyDescent="0.35">
      <c r="A125" t="s">
        <v>39</v>
      </c>
      <c r="B125" t="s">
        <v>1441</v>
      </c>
      <c r="C125" t="s">
        <v>72</v>
      </c>
      <c r="D125" t="s">
        <v>1414</v>
      </c>
      <c r="E125" s="2" t="s">
        <v>334</v>
      </c>
      <c r="F125" s="2" t="s">
        <v>1443</v>
      </c>
      <c r="G125" s="2" t="s">
        <v>1444</v>
      </c>
      <c r="H125" s="2" t="s">
        <v>52</v>
      </c>
      <c r="I125" s="2" t="s">
        <v>458</v>
      </c>
      <c r="J125" s="2" t="s">
        <v>1445</v>
      </c>
      <c r="K125" s="2">
        <v>1.58</v>
      </c>
      <c r="L125" s="2">
        <v>0</v>
      </c>
      <c r="M125" s="2" t="s">
        <v>1446</v>
      </c>
      <c r="N125" s="2" t="s">
        <v>1447</v>
      </c>
      <c r="O125" s="2" t="s">
        <v>1448</v>
      </c>
      <c r="P125" s="2" t="s">
        <v>52</v>
      </c>
      <c r="Q125" t="e">
        <f t="shared" si="1"/>
        <v>#VALUE!</v>
      </c>
    </row>
    <row r="126" spans="1:17" x14ac:dyDescent="0.35">
      <c r="A126" t="s">
        <v>39</v>
      </c>
      <c r="B126" t="s">
        <v>1449</v>
      </c>
      <c r="C126" t="s">
        <v>72</v>
      </c>
      <c r="D126" t="s">
        <v>1414</v>
      </c>
      <c r="E126" s="2" t="s">
        <v>164</v>
      </c>
      <c r="F126" s="2" t="s">
        <v>165</v>
      </c>
      <c r="G126" s="2" t="s">
        <v>1451</v>
      </c>
      <c r="H126" s="2" t="s">
        <v>52</v>
      </c>
      <c r="I126" s="2" t="s">
        <v>458</v>
      </c>
      <c r="J126" s="2" t="s">
        <v>1452</v>
      </c>
      <c r="K126" s="2">
        <v>0.31</v>
      </c>
      <c r="L126" s="2">
        <v>0</v>
      </c>
      <c r="M126" s="2" t="s">
        <v>1446</v>
      </c>
      <c r="N126" s="2" t="s">
        <v>1453</v>
      </c>
      <c r="O126" s="2" t="s">
        <v>501</v>
      </c>
      <c r="P126" s="2" t="s">
        <v>52</v>
      </c>
      <c r="Q126" t="e">
        <f t="shared" si="1"/>
        <v>#VALUE!</v>
      </c>
    </row>
    <row r="127" spans="1:17" x14ac:dyDescent="0.35">
      <c r="A127" t="s">
        <v>39</v>
      </c>
      <c r="B127" t="s">
        <v>1454</v>
      </c>
      <c r="C127" t="s">
        <v>72</v>
      </c>
      <c r="D127" t="s">
        <v>1414</v>
      </c>
      <c r="E127" s="2" t="s">
        <v>344</v>
      </c>
      <c r="F127" s="2" t="s">
        <v>1067</v>
      </c>
      <c r="G127" s="2" t="s">
        <v>1456</v>
      </c>
      <c r="H127" s="2" t="s">
        <v>52</v>
      </c>
      <c r="I127" s="2" t="s">
        <v>456</v>
      </c>
      <c r="J127" s="2" t="s">
        <v>1457</v>
      </c>
      <c r="K127" s="2">
        <v>5.49</v>
      </c>
      <c r="L127" s="2">
        <v>0</v>
      </c>
      <c r="M127" s="2" t="s">
        <v>1458</v>
      </c>
      <c r="N127" s="2" t="s">
        <v>1459</v>
      </c>
      <c r="O127" s="2" t="s">
        <v>1460</v>
      </c>
      <c r="P127" s="2" t="s">
        <v>52</v>
      </c>
      <c r="Q127" t="e">
        <f t="shared" si="1"/>
        <v>#VALUE!</v>
      </c>
    </row>
    <row r="128" spans="1:17" x14ac:dyDescent="0.35">
      <c r="A128" t="s">
        <v>39</v>
      </c>
      <c r="B128" t="s">
        <v>1461</v>
      </c>
      <c r="C128" t="s">
        <v>72</v>
      </c>
      <c r="D128" t="s">
        <v>1414</v>
      </c>
      <c r="E128" s="2" t="s">
        <v>166</v>
      </c>
      <c r="F128" s="2" t="s">
        <v>166</v>
      </c>
      <c r="G128" s="2" t="s">
        <v>1465</v>
      </c>
      <c r="H128" s="2" t="s">
        <v>52</v>
      </c>
      <c r="I128" s="2" t="s">
        <v>1466</v>
      </c>
      <c r="J128" s="2" t="s">
        <v>1466</v>
      </c>
      <c r="K128" s="2">
        <v>0.53</v>
      </c>
      <c r="L128" s="2">
        <v>0</v>
      </c>
      <c r="M128" s="2" t="s">
        <v>1468</v>
      </c>
      <c r="N128" s="2" t="s">
        <v>1468</v>
      </c>
      <c r="O128" s="2" t="s">
        <v>1469</v>
      </c>
      <c r="P128" s="2" t="s">
        <v>52</v>
      </c>
      <c r="Q128" t="e">
        <f t="shared" si="1"/>
        <v>#VALUE!</v>
      </c>
    </row>
    <row r="129" spans="1:17" x14ac:dyDescent="0.35">
      <c r="A129" t="s">
        <v>39</v>
      </c>
      <c r="B129" t="s">
        <v>1470</v>
      </c>
      <c r="C129" t="s">
        <v>72</v>
      </c>
      <c r="D129" t="s">
        <v>1414</v>
      </c>
      <c r="E129" s="2" t="s">
        <v>334</v>
      </c>
      <c r="F129" s="2" t="s">
        <v>166</v>
      </c>
      <c r="G129" s="2" t="s">
        <v>1473</v>
      </c>
      <c r="H129" s="2" t="s">
        <v>52</v>
      </c>
      <c r="I129" s="2" t="s">
        <v>1466</v>
      </c>
      <c r="J129" s="2" t="s">
        <v>458</v>
      </c>
      <c r="K129" s="2">
        <v>1.52</v>
      </c>
      <c r="L129" s="2">
        <v>0</v>
      </c>
      <c r="M129" s="2" t="s">
        <v>1475</v>
      </c>
      <c r="N129" s="2" t="s">
        <v>1476</v>
      </c>
      <c r="O129" s="2" t="s">
        <v>1477</v>
      </c>
      <c r="P129" s="2" t="s">
        <v>52</v>
      </c>
      <c r="Q129" t="e">
        <f t="shared" si="1"/>
        <v>#VALUE!</v>
      </c>
    </row>
    <row r="130" spans="1:17" x14ac:dyDescent="0.35">
      <c r="A130" t="s">
        <v>39</v>
      </c>
      <c r="B130" t="s">
        <v>1478</v>
      </c>
      <c r="C130" t="s">
        <v>72</v>
      </c>
      <c r="D130" t="s">
        <v>1492</v>
      </c>
      <c r="E130" s="2" t="s">
        <v>52</v>
      </c>
      <c r="F130" s="2" t="s">
        <v>1482</v>
      </c>
      <c r="G130" s="2" t="s">
        <v>1482</v>
      </c>
      <c r="H130" s="2" t="s">
        <v>1483</v>
      </c>
      <c r="I130" s="2" t="s">
        <v>52</v>
      </c>
      <c r="J130" s="2" t="s">
        <v>1485</v>
      </c>
      <c r="K130" s="2">
        <v>5.67</v>
      </c>
      <c r="L130" s="2">
        <v>2.82</v>
      </c>
      <c r="M130" s="2" t="s">
        <v>52</v>
      </c>
      <c r="N130" s="2" t="s">
        <v>1488</v>
      </c>
      <c r="O130" s="2" t="s">
        <v>1488</v>
      </c>
      <c r="P130" s="2" t="s">
        <v>1489</v>
      </c>
      <c r="Q130" t="e">
        <f t="shared" ref="Q130:Q193" si="2">IF(F130&lt;&gt;0,(G130/F130)-1,"")</f>
        <v>#VALUE!</v>
      </c>
    </row>
    <row r="131" spans="1:17" x14ac:dyDescent="0.35">
      <c r="A131" t="s">
        <v>39</v>
      </c>
      <c r="B131" t="s">
        <v>1493</v>
      </c>
      <c r="C131" t="s">
        <v>72</v>
      </c>
      <c r="D131" t="s">
        <v>1492</v>
      </c>
      <c r="E131" s="2" t="s">
        <v>52</v>
      </c>
      <c r="F131" s="2" t="s">
        <v>52</v>
      </c>
      <c r="G131" s="2" t="s">
        <v>52</v>
      </c>
      <c r="H131" s="2" t="s">
        <v>52</v>
      </c>
      <c r="I131" s="2" t="s">
        <v>52</v>
      </c>
      <c r="J131" s="2" t="s">
        <v>52</v>
      </c>
      <c r="K131" s="2">
        <v>0</v>
      </c>
      <c r="L131" s="2">
        <v>0</v>
      </c>
      <c r="M131" s="2" t="s">
        <v>52</v>
      </c>
      <c r="N131" s="2" t="s">
        <v>52</v>
      </c>
      <c r="O131" s="2" t="s">
        <v>52</v>
      </c>
      <c r="P131" s="2" t="s">
        <v>52</v>
      </c>
      <c r="Q131" t="e">
        <f t="shared" si="2"/>
        <v>#VALUE!</v>
      </c>
    </row>
    <row r="132" spans="1:17" x14ac:dyDescent="0.35">
      <c r="A132" t="s">
        <v>39</v>
      </c>
      <c r="B132" t="s">
        <v>1495</v>
      </c>
      <c r="C132" t="s">
        <v>72</v>
      </c>
      <c r="D132" t="s">
        <v>1492</v>
      </c>
      <c r="E132" s="2" t="s">
        <v>1498</v>
      </c>
      <c r="F132" s="2" t="s">
        <v>1499</v>
      </c>
      <c r="G132" s="2" t="s">
        <v>1500</v>
      </c>
      <c r="H132" s="2" t="s">
        <v>1501</v>
      </c>
      <c r="I132" s="2" t="s">
        <v>1418</v>
      </c>
      <c r="J132" s="2" t="s">
        <v>1418</v>
      </c>
      <c r="K132" s="2">
        <v>11.02</v>
      </c>
      <c r="L132" s="2">
        <v>9.18</v>
      </c>
      <c r="M132" s="2" t="s">
        <v>1506</v>
      </c>
      <c r="N132" s="2" t="s">
        <v>1507</v>
      </c>
      <c r="O132" s="2" t="s">
        <v>1508</v>
      </c>
      <c r="P132" s="2" t="s">
        <v>1509</v>
      </c>
      <c r="Q132" t="e">
        <f t="shared" si="2"/>
        <v>#VALUE!</v>
      </c>
    </row>
    <row r="133" spans="1:17" x14ac:dyDescent="0.35">
      <c r="A133" t="s">
        <v>39</v>
      </c>
      <c r="B133" t="s">
        <v>1511</v>
      </c>
      <c r="C133" t="s">
        <v>72</v>
      </c>
      <c r="D133" t="s">
        <v>1492</v>
      </c>
      <c r="E133" s="2" t="s">
        <v>1514</v>
      </c>
      <c r="F133" s="2" t="s">
        <v>1515</v>
      </c>
      <c r="G133" s="2" t="s">
        <v>1516</v>
      </c>
      <c r="H133" s="2" t="s">
        <v>1516</v>
      </c>
      <c r="I133" s="2" t="s">
        <v>1518</v>
      </c>
      <c r="J133" s="2" t="s">
        <v>1519</v>
      </c>
      <c r="K133" s="2">
        <v>3.92</v>
      </c>
      <c r="L133" s="2">
        <v>3.92</v>
      </c>
      <c r="M133" s="2" t="s">
        <v>1521</v>
      </c>
      <c r="N133" s="2" t="s">
        <v>1522</v>
      </c>
      <c r="O133" s="2" t="s">
        <v>1523</v>
      </c>
      <c r="P133" s="2" t="s">
        <v>1523</v>
      </c>
      <c r="Q133" t="e">
        <f t="shared" si="2"/>
        <v>#VALUE!</v>
      </c>
    </row>
    <row r="134" spans="1:17" x14ac:dyDescent="0.35">
      <c r="A134" t="s">
        <v>39</v>
      </c>
      <c r="B134" t="s">
        <v>1524</v>
      </c>
      <c r="C134" t="s">
        <v>72</v>
      </c>
      <c r="D134" t="s">
        <v>1492</v>
      </c>
      <c r="E134" s="2" t="s">
        <v>1161</v>
      </c>
      <c r="F134" s="2" t="s">
        <v>1527</v>
      </c>
      <c r="G134" s="2" t="s">
        <v>1527</v>
      </c>
      <c r="H134" s="2" t="s">
        <v>1527</v>
      </c>
      <c r="I134" s="2" t="s">
        <v>1530</v>
      </c>
      <c r="J134" s="2" t="s">
        <v>1531</v>
      </c>
      <c r="K134" s="2">
        <v>4.68</v>
      </c>
      <c r="L134" s="2">
        <v>4.68</v>
      </c>
      <c r="M134" s="2" t="s">
        <v>1534</v>
      </c>
      <c r="N134" s="2" t="s">
        <v>1535</v>
      </c>
      <c r="O134" s="2" t="s">
        <v>1535</v>
      </c>
      <c r="P134" s="2" t="s">
        <v>1535</v>
      </c>
      <c r="Q134" t="e">
        <f t="shared" si="2"/>
        <v>#VALUE!</v>
      </c>
    </row>
    <row r="135" spans="1:17" x14ac:dyDescent="0.35">
      <c r="A135" t="s">
        <v>39</v>
      </c>
      <c r="B135" t="s">
        <v>1537</v>
      </c>
      <c r="C135" t="s">
        <v>72</v>
      </c>
      <c r="D135" t="s">
        <v>1492</v>
      </c>
      <c r="E135" s="2" t="s">
        <v>1539</v>
      </c>
      <c r="F135" s="2" t="s">
        <v>1540</v>
      </c>
      <c r="G135" s="2" t="s">
        <v>1541</v>
      </c>
      <c r="H135" s="2" t="s">
        <v>1542</v>
      </c>
      <c r="I135" s="2" t="s">
        <v>786</v>
      </c>
      <c r="J135" s="2" t="s">
        <v>786</v>
      </c>
      <c r="K135" s="2">
        <v>1.69</v>
      </c>
      <c r="L135" s="2">
        <v>1.45</v>
      </c>
      <c r="M135" s="2" t="s">
        <v>1545</v>
      </c>
      <c r="N135" s="2" t="s">
        <v>1546</v>
      </c>
      <c r="O135" s="2" t="s">
        <v>899</v>
      </c>
      <c r="P135" s="2" t="s">
        <v>1547</v>
      </c>
      <c r="Q135" t="e">
        <f t="shared" si="2"/>
        <v>#VALUE!</v>
      </c>
    </row>
    <row r="136" spans="1:17" x14ac:dyDescent="0.35">
      <c r="A136" t="s">
        <v>39</v>
      </c>
      <c r="B136" t="s">
        <v>1549</v>
      </c>
      <c r="C136" t="s">
        <v>72</v>
      </c>
      <c r="D136" t="s">
        <v>1492</v>
      </c>
      <c r="E136" s="2" t="s">
        <v>1552</v>
      </c>
      <c r="F136" s="2" t="s">
        <v>52</v>
      </c>
      <c r="G136" s="2" t="s">
        <v>52</v>
      </c>
      <c r="H136" s="2" t="s">
        <v>52</v>
      </c>
      <c r="I136" s="2" t="s">
        <v>242</v>
      </c>
      <c r="J136" s="2" t="s">
        <v>52</v>
      </c>
      <c r="K136" s="2">
        <v>0</v>
      </c>
      <c r="L136" s="2">
        <v>0</v>
      </c>
      <c r="M136" s="2" t="s">
        <v>1555</v>
      </c>
      <c r="N136" s="2" t="s">
        <v>52</v>
      </c>
      <c r="O136" s="2" t="s">
        <v>52</v>
      </c>
      <c r="P136" s="2" t="s">
        <v>52</v>
      </c>
      <c r="Q136" t="e">
        <f t="shared" si="2"/>
        <v>#VALUE!</v>
      </c>
    </row>
    <row r="137" spans="1:17" x14ac:dyDescent="0.35">
      <c r="A137" t="s">
        <v>39</v>
      </c>
      <c r="B137" t="s">
        <v>1556</v>
      </c>
      <c r="C137" t="s">
        <v>72</v>
      </c>
      <c r="D137" t="s">
        <v>1492</v>
      </c>
      <c r="E137" s="2" t="s">
        <v>669</v>
      </c>
      <c r="F137" s="2" t="s">
        <v>1559</v>
      </c>
      <c r="G137" s="2" t="s">
        <v>1560</v>
      </c>
      <c r="H137" s="2" t="s">
        <v>1559</v>
      </c>
      <c r="I137" s="2" t="s">
        <v>1384</v>
      </c>
      <c r="J137" s="2" t="s">
        <v>1384</v>
      </c>
      <c r="K137" s="2">
        <v>1.92</v>
      </c>
      <c r="L137" s="2">
        <v>1.6</v>
      </c>
      <c r="M137" s="2" t="s">
        <v>1562</v>
      </c>
      <c r="N137" s="2" t="s">
        <v>1563</v>
      </c>
      <c r="O137" s="2" t="s">
        <v>1564</v>
      </c>
      <c r="P137" s="2" t="s">
        <v>1565</v>
      </c>
      <c r="Q137" t="e">
        <f t="shared" si="2"/>
        <v>#VALUE!</v>
      </c>
    </row>
    <row r="138" spans="1:17" x14ac:dyDescent="0.35">
      <c r="A138" t="s">
        <v>39</v>
      </c>
      <c r="B138" t="s">
        <v>1566</v>
      </c>
      <c r="C138" t="s">
        <v>72</v>
      </c>
      <c r="D138" t="s">
        <v>1492</v>
      </c>
      <c r="E138" s="2" t="s">
        <v>52</v>
      </c>
      <c r="F138" s="2" t="s">
        <v>1570</v>
      </c>
      <c r="G138" s="2" t="s">
        <v>1570</v>
      </c>
      <c r="H138" s="2" t="s">
        <v>1570</v>
      </c>
      <c r="I138" s="2" t="s">
        <v>52</v>
      </c>
      <c r="J138" s="2" t="s">
        <v>1571</v>
      </c>
      <c r="K138" s="2">
        <v>1.25</v>
      </c>
      <c r="L138" s="2">
        <v>1.25</v>
      </c>
      <c r="M138" s="2" t="s">
        <v>52</v>
      </c>
      <c r="N138" s="2" t="s">
        <v>1573</v>
      </c>
      <c r="O138" s="2" t="s">
        <v>1573</v>
      </c>
      <c r="P138" s="2" t="s">
        <v>1573</v>
      </c>
      <c r="Q138" t="e">
        <f t="shared" si="2"/>
        <v>#VALUE!</v>
      </c>
    </row>
    <row r="139" spans="1:17" x14ac:dyDescent="0.35">
      <c r="A139" t="s">
        <v>39</v>
      </c>
      <c r="B139" t="s">
        <v>1574</v>
      </c>
      <c r="C139" t="s">
        <v>72</v>
      </c>
      <c r="D139" t="s">
        <v>1492</v>
      </c>
      <c r="E139" s="2" t="s">
        <v>1578</v>
      </c>
      <c r="F139" s="2" t="s">
        <v>1579</v>
      </c>
      <c r="G139" s="2" t="s">
        <v>1580</v>
      </c>
      <c r="H139" s="2" t="s">
        <v>1581</v>
      </c>
      <c r="I139" s="2" t="s">
        <v>1583</v>
      </c>
      <c r="J139" s="2" t="s">
        <v>1584</v>
      </c>
      <c r="K139" s="2">
        <v>57.99</v>
      </c>
      <c r="L139" s="2">
        <v>49.72</v>
      </c>
      <c r="M139" s="2" t="s">
        <v>1586</v>
      </c>
      <c r="N139" s="2" t="s">
        <v>1587</v>
      </c>
      <c r="O139" s="2" t="s">
        <v>1588</v>
      </c>
      <c r="P139" s="2" t="s">
        <v>1589</v>
      </c>
      <c r="Q139" t="e">
        <f t="shared" si="2"/>
        <v>#VALUE!</v>
      </c>
    </row>
    <row r="140" spans="1:17" x14ac:dyDescent="0.35">
      <c r="A140" t="s">
        <v>39</v>
      </c>
      <c r="B140" t="s">
        <v>1590</v>
      </c>
      <c r="C140" t="s">
        <v>72</v>
      </c>
      <c r="D140" t="s">
        <v>1492</v>
      </c>
      <c r="E140" s="2" t="s">
        <v>1594</v>
      </c>
      <c r="F140" s="2" t="s">
        <v>1595</v>
      </c>
      <c r="G140" s="2" t="s">
        <v>1596</v>
      </c>
      <c r="H140" s="2" t="s">
        <v>1597</v>
      </c>
      <c r="I140" s="2" t="s">
        <v>1600</v>
      </c>
      <c r="J140" s="2" t="s">
        <v>1601</v>
      </c>
      <c r="K140" s="2">
        <v>2.29</v>
      </c>
      <c r="L140" s="2">
        <v>3.06</v>
      </c>
      <c r="M140" s="2" t="s">
        <v>1604</v>
      </c>
      <c r="N140" s="2" t="s">
        <v>1605</v>
      </c>
      <c r="O140" s="2" t="s">
        <v>1606</v>
      </c>
      <c r="P140" s="2" t="s">
        <v>1607</v>
      </c>
      <c r="Q140" t="e">
        <f t="shared" si="2"/>
        <v>#VALUE!</v>
      </c>
    </row>
    <row r="141" spans="1:17" x14ac:dyDescent="0.35">
      <c r="A141" t="s">
        <v>39</v>
      </c>
      <c r="B141" t="s">
        <v>1609</v>
      </c>
      <c r="C141" t="s">
        <v>72</v>
      </c>
      <c r="D141" t="s">
        <v>1492</v>
      </c>
      <c r="E141" s="2" t="s">
        <v>1612</v>
      </c>
      <c r="F141" s="2" t="s">
        <v>1613</v>
      </c>
      <c r="G141" s="2" t="s">
        <v>1614</v>
      </c>
      <c r="H141" s="2" t="s">
        <v>1615</v>
      </c>
      <c r="I141" s="2" t="s">
        <v>1617</v>
      </c>
      <c r="J141" s="2" t="s">
        <v>1618</v>
      </c>
      <c r="K141" s="2">
        <v>8.4700000000000006</v>
      </c>
      <c r="L141" s="2">
        <v>7.25</v>
      </c>
      <c r="M141" s="2" t="s">
        <v>1621</v>
      </c>
      <c r="N141" s="2" t="s">
        <v>1622</v>
      </c>
      <c r="O141" s="2" t="s">
        <v>1623</v>
      </c>
      <c r="P141" s="2" t="s">
        <v>1624</v>
      </c>
      <c r="Q141" t="e">
        <f t="shared" si="2"/>
        <v>#VALUE!</v>
      </c>
    </row>
    <row r="142" spans="1:17" x14ac:dyDescent="0.35">
      <c r="A142" t="s">
        <v>39</v>
      </c>
      <c r="B142" t="s">
        <v>1626</v>
      </c>
      <c r="C142" t="s">
        <v>72</v>
      </c>
      <c r="D142" t="s">
        <v>1492</v>
      </c>
      <c r="E142" s="2" t="s">
        <v>1629</v>
      </c>
      <c r="F142" s="2" t="s">
        <v>1630</v>
      </c>
      <c r="G142" s="2" t="s">
        <v>1630</v>
      </c>
      <c r="H142" s="2" t="s">
        <v>1630</v>
      </c>
      <c r="I142" s="2" t="s">
        <v>1240</v>
      </c>
      <c r="J142" s="2" t="s">
        <v>1617</v>
      </c>
      <c r="K142" s="2">
        <v>7.28</v>
      </c>
      <c r="L142" s="2">
        <v>7.28</v>
      </c>
      <c r="M142" s="2" t="s">
        <v>1632</v>
      </c>
      <c r="N142" s="2" t="s">
        <v>1633</v>
      </c>
      <c r="O142" s="2" t="s">
        <v>1633</v>
      </c>
      <c r="P142" s="2" t="s">
        <v>1633</v>
      </c>
      <c r="Q142" t="e">
        <f t="shared" si="2"/>
        <v>#VALUE!</v>
      </c>
    </row>
    <row r="143" spans="1:17" x14ac:dyDescent="0.35">
      <c r="A143" t="s">
        <v>39</v>
      </c>
      <c r="B143" t="s">
        <v>1634</v>
      </c>
      <c r="C143" t="s">
        <v>72</v>
      </c>
      <c r="D143" t="s">
        <v>1492</v>
      </c>
      <c r="E143" s="2" t="s">
        <v>1637</v>
      </c>
      <c r="F143" s="2" t="s">
        <v>1638</v>
      </c>
      <c r="G143" s="2" t="s">
        <v>1639</v>
      </c>
      <c r="H143" s="2" t="s">
        <v>1639</v>
      </c>
      <c r="I143" s="2" t="s">
        <v>1641</v>
      </c>
      <c r="J143" s="2" t="s">
        <v>1321</v>
      </c>
      <c r="K143" s="2">
        <v>3.81</v>
      </c>
      <c r="L143" s="2">
        <v>3.81</v>
      </c>
      <c r="M143" s="2" t="s">
        <v>1644</v>
      </c>
      <c r="N143" s="2" t="s">
        <v>1645</v>
      </c>
      <c r="O143" s="2" t="s">
        <v>1646</v>
      </c>
      <c r="P143" s="2" t="s">
        <v>1646</v>
      </c>
      <c r="Q143" t="e">
        <f t="shared" si="2"/>
        <v>#VALUE!</v>
      </c>
    </row>
    <row r="144" spans="1:17" x14ac:dyDescent="0.35">
      <c r="A144" t="s">
        <v>39</v>
      </c>
      <c r="B144" t="s">
        <v>1648</v>
      </c>
      <c r="C144" t="s">
        <v>72</v>
      </c>
      <c r="D144" t="s">
        <v>1492</v>
      </c>
      <c r="E144" s="2" t="s">
        <v>1651</v>
      </c>
      <c r="F144" s="2" t="s">
        <v>1652</v>
      </c>
      <c r="G144" s="2" t="s">
        <v>1653</v>
      </c>
      <c r="H144" s="2" t="s">
        <v>1652</v>
      </c>
      <c r="I144" s="2" t="s">
        <v>1656</v>
      </c>
      <c r="J144" s="2" t="s">
        <v>1657</v>
      </c>
      <c r="K144" s="2">
        <v>9.0500000000000007</v>
      </c>
      <c r="L144" s="2">
        <v>4.49</v>
      </c>
      <c r="M144" s="2" t="s">
        <v>1659</v>
      </c>
      <c r="N144" s="2" t="s">
        <v>1660</v>
      </c>
      <c r="O144" s="2" t="s">
        <v>1661</v>
      </c>
      <c r="P144" s="2" t="s">
        <v>1660</v>
      </c>
      <c r="Q144" t="e">
        <f t="shared" si="2"/>
        <v>#VALUE!</v>
      </c>
    </row>
    <row r="145" spans="1:17" x14ac:dyDescent="0.35">
      <c r="A145" t="s">
        <v>39</v>
      </c>
      <c r="B145" t="s">
        <v>1663</v>
      </c>
      <c r="C145" t="s">
        <v>72</v>
      </c>
      <c r="D145" t="s">
        <v>1492</v>
      </c>
      <c r="E145" s="2" t="s">
        <v>1666</v>
      </c>
      <c r="F145" s="2" t="s">
        <v>1667</v>
      </c>
      <c r="G145" s="2" t="s">
        <v>1668</v>
      </c>
      <c r="H145" s="2" t="s">
        <v>1668</v>
      </c>
      <c r="I145" s="2" t="s">
        <v>1671</v>
      </c>
      <c r="J145" s="2" t="s">
        <v>1018</v>
      </c>
      <c r="K145" s="2">
        <v>2.98</v>
      </c>
      <c r="L145" s="2">
        <v>2.98</v>
      </c>
      <c r="M145" s="2" t="s">
        <v>1674</v>
      </c>
      <c r="N145" s="2" t="s">
        <v>1675</v>
      </c>
      <c r="O145" s="2" t="s">
        <v>1676</v>
      </c>
      <c r="P145" s="2" t="s">
        <v>1676</v>
      </c>
      <c r="Q145" t="e">
        <f t="shared" si="2"/>
        <v>#VALUE!</v>
      </c>
    </row>
    <row r="146" spans="1:17" x14ac:dyDescent="0.35">
      <c r="A146" t="s">
        <v>39</v>
      </c>
      <c r="B146" t="s">
        <v>1678</v>
      </c>
      <c r="C146" t="s">
        <v>72</v>
      </c>
      <c r="D146" t="s">
        <v>1492</v>
      </c>
      <c r="E146" s="2" t="s">
        <v>1680</v>
      </c>
      <c r="F146" s="2" t="s">
        <v>1681</v>
      </c>
      <c r="G146" s="2" t="s">
        <v>1682</v>
      </c>
      <c r="H146" s="2" t="s">
        <v>1682</v>
      </c>
      <c r="I146" s="2" t="s">
        <v>325</v>
      </c>
      <c r="J146" s="2" t="s">
        <v>785</v>
      </c>
      <c r="K146" s="2">
        <v>2.78</v>
      </c>
      <c r="L146" s="2">
        <v>2.78</v>
      </c>
      <c r="M146" s="2" t="s">
        <v>1690</v>
      </c>
      <c r="N146" s="2" t="s">
        <v>1691</v>
      </c>
      <c r="O146" s="2" t="s">
        <v>1692</v>
      </c>
      <c r="P146" s="2" t="s">
        <v>1692</v>
      </c>
      <c r="Q146" t="e">
        <f t="shared" si="2"/>
        <v>#VALUE!</v>
      </c>
    </row>
    <row r="147" spans="1:17" x14ac:dyDescent="0.35">
      <c r="A147" t="s">
        <v>39</v>
      </c>
      <c r="B147" t="s">
        <v>1695</v>
      </c>
      <c r="C147" t="s">
        <v>72</v>
      </c>
      <c r="D147" t="s">
        <v>1492</v>
      </c>
      <c r="E147" s="2" t="s">
        <v>52</v>
      </c>
      <c r="F147" s="2" t="s">
        <v>52</v>
      </c>
      <c r="G147" s="2" t="s">
        <v>52</v>
      </c>
      <c r="H147" s="2" t="s">
        <v>52</v>
      </c>
      <c r="I147" s="2" t="s">
        <v>52</v>
      </c>
      <c r="J147" s="2" t="s">
        <v>52</v>
      </c>
      <c r="K147" s="2">
        <v>0</v>
      </c>
      <c r="L147" s="2">
        <v>0</v>
      </c>
      <c r="M147" s="2" t="s">
        <v>52</v>
      </c>
      <c r="N147" s="2" t="s">
        <v>52</v>
      </c>
      <c r="O147" s="2" t="s">
        <v>52</v>
      </c>
      <c r="P147" s="2" t="s">
        <v>52</v>
      </c>
      <c r="Q147" t="e">
        <f t="shared" si="2"/>
        <v>#VALUE!</v>
      </c>
    </row>
    <row r="148" spans="1:17" x14ac:dyDescent="0.35">
      <c r="A148" t="s">
        <v>39</v>
      </c>
      <c r="B148" t="s">
        <v>1701</v>
      </c>
      <c r="C148" t="s">
        <v>72</v>
      </c>
      <c r="D148" t="s">
        <v>1492</v>
      </c>
      <c r="E148" s="2" t="s">
        <v>52</v>
      </c>
      <c r="F148" s="2" t="s">
        <v>1704</v>
      </c>
      <c r="G148" s="2" t="s">
        <v>1704</v>
      </c>
      <c r="H148" s="2" t="s">
        <v>1704</v>
      </c>
      <c r="I148" s="2" t="s">
        <v>52</v>
      </c>
      <c r="J148" s="2" t="s">
        <v>1706</v>
      </c>
      <c r="K148" s="2">
        <v>7.58</v>
      </c>
      <c r="L148" s="2">
        <v>7.58</v>
      </c>
      <c r="M148" s="2" t="s">
        <v>52</v>
      </c>
      <c r="N148" s="2" t="s">
        <v>1708</v>
      </c>
      <c r="O148" s="2" t="s">
        <v>1708</v>
      </c>
      <c r="P148" s="2" t="s">
        <v>1708</v>
      </c>
      <c r="Q148" t="e">
        <f t="shared" si="2"/>
        <v>#VALUE!</v>
      </c>
    </row>
    <row r="149" spans="1:17" x14ac:dyDescent="0.35">
      <c r="A149" t="s">
        <v>39</v>
      </c>
      <c r="B149" t="s">
        <v>1709</v>
      </c>
      <c r="C149" t="s">
        <v>72</v>
      </c>
      <c r="D149" t="s">
        <v>117</v>
      </c>
      <c r="E149" s="2" t="s">
        <v>1712</v>
      </c>
      <c r="F149" s="2" t="s">
        <v>1713</v>
      </c>
      <c r="G149" s="2" t="s">
        <v>1714</v>
      </c>
      <c r="H149" s="2" t="s">
        <v>1715</v>
      </c>
      <c r="I149" s="2" t="s">
        <v>1719</v>
      </c>
      <c r="J149" s="2" t="s">
        <v>1600</v>
      </c>
      <c r="K149" s="2">
        <v>0.85</v>
      </c>
      <c r="L149" s="2">
        <v>0.96</v>
      </c>
      <c r="M149" s="2" t="s">
        <v>1723</v>
      </c>
      <c r="N149" s="2" t="s">
        <v>1724</v>
      </c>
      <c r="O149" s="2" t="s">
        <v>775</v>
      </c>
      <c r="P149" s="2" t="s">
        <v>1725</v>
      </c>
      <c r="Q149" t="e">
        <f t="shared" si="2"/>
        <v>#VALUE!</v>
      </c>
    </row>
    <row r="150" spans="1:17" x14ac:dyDescent="0.35">
      <c r="A150" t="s">
        <v>39</v>
      </c>
      <c r="B150" t="s">
        <v>1729</v>
      </c>
      <c r="C150" t="s">
        <v>72</v>
      </c>
      <c r="D150" t="s">
        <v>555</v>
      </c>
      <c r="E150" s="2" t="s">
        <v>894</v>
      </c>
      <c r="F150" s="2" t="s">
        <v>894</v>
      </c>
      <c r="G150" s="2" t="s">
        <v>894</v>
      </c>
      <c r="H150" s="2" t="s">
        <v>894</v>
      </c>
      <c r="I150" s="2" t="s">
        <v>897</v>
      </c>
      <c r="J150" s="2" t="s">
        <v>897</v>
      </c>
      <c r="K150" s="2">
        <v>1.36</v>
      </c>
      <c r="L150" s="2">
        <v>1.36</v>
      </c>
      <c r="M150" s="2" t="s">
        <v>1734</v>
      </c>
      <c r="N150" s="2" t="s">
        <v>1734</v>
      </c>
      <c r="O150" s="2" t="s">
        <v>1734</v>
      </c>
      <c r="P150" s="2" t="s">
        <v>1734</v>
      </c>
      <c r="Q150" t="e">
        <f t="shared" si="2"/>
        <v>#VALUE!</v>
      </c>
    </row>
    <row r="151" spans="1:17" x14ac:dyDescent="0.35">
      <c r="A151" t="s">
        <v>39</v>
      </c>
      <c r="B151" t="s">
        <v>1735</v>
      </c>
      <c r="C151" t="s">
        <v>41</v>
      </c>
      <c r="D151" t="s">
        <v>49</v>
      </c>
      <c r="E151" s="2" t="s">
        <v>52</v>
      </c>
      <c r="F151" s="2" t="s">
        <v>1738</v>
      </c>
      <c r="G151" s="2" t="s">
        <v>1738</v>
      </c>
      <c r="H151" s="2" t="s">
        <v>1738</v>
      </c>
      <c r="I151" s="2" t="s">
        <v>52</v>
      </c>
      <c r="J151" s="2" t="s">
        <v>1739</v>
      </c>
      <c r="K151" s="2">
        <v>1.54</v>
      </c>
      <c r="L151" s="2">
        <v>1.54</v>
      </c>
      <c r="M151" s="2" t="s">
        <v>52</v>
      </c>
      <c r="N151" s="2" t="s">
        <v>1740</v>
      </c>
      <c r="O151" s="2" t="s">
        <v>1740</v>
      </c>
      <c r="P151" s="2" t="s">
        <v>1740</v>
      </c>
      <c r="Q151" t="e">
        <f t="shared" si="2"/>
        <v>#VALUE!</v>
      </c>
    </row>
    <row r="152" spans="1:17" x14ac:dyDescent="0.35">
      <c r="A152" t="s">
        <v>39</v>
      </c>
      <c r="B152" t="s">
        <v>1741</v>
      </c>
      <c r="C152" t="s">
        <v>41</v>
      </c>
      <c r="D152" t="s">
        <v>49</v>
      </c>
      <c r="E152" s="2" t="s">
        <v>52</v>
      </c>
      <c r="F152" s="2" t="s">
        <v>1386</v>
      </c>
      <c r="G152" s="2" t="s">
        <v>1529</v>
      </c>
      <c r="H152" s="2" t="s">
        <v>1386</v>
      </c>
      <c r="I152" s="2" t="s">
        <v>52</v>
      </c>
      <c r="J152" s="2" t="s">
        <v>831</v>
      </c>
      <c r="K152" s="2">
        <v>7.67</v>
      </c>
      <c r="L152" s="2">
        <v>6.71</v>
      </c>
      <c r="M152" s="2" t="s">
        <v>52</v>
      </c>
      <c r="N152" s="2" t="s">
        <v>1745</v>
      </c>
      <c r="O152" s="2" t="s">
        <v>1746</v>
      </c>
      <c r="P152" s="2" t="s">
        <v>1745</v>
      </c>
      <c r="Q152" t="e">
        <f t="shared" si="2"/>
        <v>#VALUE!</v>
      </c>
    </row>
    <row r="153" spans="1:17" x14ac:dyDescent="0.35">
      <c r="A153" t="s">
        <v>39</v>
      </c>
      <c r="B153" t="s">
        <v>1747</v>
      </c>
      <c r="C153" t="s">
        <v>72</v>
      </c>
      <c r="D153" t="s">
        <v>555</v>
      </c>
      <c r="E153" s="2" t="s">
        <v>52</v>
      </c>
      <c r="F153" s="2" t="s">
        <v>612</v>
      </c>
      <c r="G153" s="2" t="s">
        <v>1749</v>
      </c>
      <c r="H153" s="2" t="s">
        <v>1749</v>
      </c>
      <c r="I153" s="2" t="s">
        <v>52</v>
      </c>
      <c r="J153" s="2" t="s">
        <v>872</v>
      </c>
      <c r="K153" s="2">
        <v>0.35</v>
      </c>
      <c r="L153" s="2">
        <v>0.35</v>
      </c>
      <c r="M153" s="2" t="s">
        <v>52</v>
      </c>
      <c r="N153" s="2" t="s">
        <v>1752</v>
      </c>
      <c r="O153" s="2" t="s">
        <v>1103</v>
      </c>
      <c r="P153" s="2" t="s">
        <v>1103</v>
      </c>
      <c r="Q153" t="e">
        <f t="shared" si="2"/>
        <v>#VALUE!</v>
      </c>
    </row>
    <row r="154" spans="1:17" x14ac:dyDescent="0.35">
      <c r="A154" t="s">
        <v>39</v>
      </c>
      <c r="B154" t="s">
        <v>1755</v>
      </c>
      <c r="C154" t="s">
        <v>72</v>
      </c>
      <c r="D154" t="s">
        <v>555</v>
      </c>
      <c r="E154" s="2" t="s">
        <v>52</v>
      </c>
      <c r="F154" s="2" t="s">
        <v>1757</v>
      </c>
      <c r="G154" s="2" t="s">
        <v>1757</v>
      </c>
      <c r="H154" s="2" t="s">
        <v>1757</v>
      </c>
      <c r="I154" s="2" t="s">
        <v>52</v>
      </c>
      <c r="J154" s="2" t="s">
        <v>179</v>
      </c>
      <c r="K154" s="2">
        <v>0.46</v>
      </c>
      <c r="L154" s="2">
        <v>0.46</v>
      </c>
      <c r="M154" s="2" t="s">
        <v>52</v>
      </c>
      <c r="N154" s="2" t="s">
        <v>706</v>
      </c>
      <c r="O154" s="2" t="s">
        <v>706</v>
      </c>
      <c r="P154" s="2" t="s">
        <v>706</v>
      </c>
      <c r="Q154" t="e">
        <f t="shared" si="2"/>
        <v>#VALUE!</v>
      </c>
    </row>
    <row r="155" spans="1:17" x14ac:dyDescent="0.35">
      <c r="A155" t="s">
        <v>39</v>
      </c>
      <c r="B155" t="s">
        <v>1763</v>
      </c>
      <c r="C155" t="s">
        <v>72</v>
      </c>
      <c r="D155" t="s">
        <v>555</v>
      </c>
      <c r="E155" s="2" t="s">
        <v>52</v>
      </c>
      <c r="F155" s="2" t="s">
        <v>884</v>
      </c>
      <c r="G155" s="2" t="s">
        <v>1765</v>
      </c>
      <c r="H155" s="2" t="s">
        <v>1765</v>
      </c>
      <c r="I155" s="2" t="s">
        <v>52</v>
      </c>
      <c r="J155" s="2" t="s">
        <v>1320</v>
      </c>
      <c r="K155" s="2">
        <v>0.32</v>
      </c>
      <c r="L155" s="2">
        <v>0.32</v>
      </c>
      <c r="M155" s="2" t="s">
        <v>52</v>
      </c>
      <c r="N155" s="2" t="s">
        <v>1767</v>
      </c>
      <c r="O155" s="2" t="s">
        <v>203</v>
      </c>
      <c r="P155" s="2" t="s">
        <v>203</v>
      </c>
      <c r="Q155" t="e">
        <f t="shared" si="2"/>
        <v>#VALUE!</v>
      </c>
    </row>
    <row r="156" spans="1:17" x14ac:dyDescent="0.35">
      <c r="A156" t="s">
        <v>39</v>
      </c>
      <c r="B156" t="s">
        <v>1769</v>
      </c>
      <c r="C156" t="s">
        <v>41</v>
      </c>
      <c r="D156" t="s">
        <v>49</v>
      </c>
      <c r="E156" s="2" t="s">
        <v>52</v>
      </c>
      <c r="F156" s="2" t="s">
        <v>52</v>
      </c>
      <c r="G156" s="2" t="s">
        <v>52</v>
      </c>
      <c r="H156" s="2" t="s">
        <v>52</v>
      </c>
      <c r="I156" s="2" t="s">
        <v>52</v>
      </c>
      <c r="J156" s="2" t="s">
        <v>52</v>
      </c>
      <c r="K156" s="2">
        <v>0</v>
      </c>
      <c r="L156" s="2">
        <v>0</v>
      </c>
      <c r="M156" s="2" t="s">
        <v>52</v>
      </c>
      <c r="N156" s="2" t="s">
        <v>52</v>
      </c>
      <c r="O156" s="2" t="s">
        <v>52</v>
      </c>
      <c r="P156" s="2" t="s">
        <v>52</v>
      </c>
      <c r="Q156" t="e">
        <f t="shared" si="2"/>
        <v>#VALUE!</v>
      </c>
    </row>
    <row r="157" spans="1:17" x14ac:dyDescent="0.35">
      <c r="A157" t="s">
        <v>39</v>
      </c>
      <c r="B157" t="s">
        <v>1774</v>
      </c>
      <c r="C157" t="s">
        <v>41</v>
      </c>
      <c r="D157" t="s">
        <v>49</v>
      </c>
      <c r="E157" s="2" t="s">
        <v>1779</v>
      </c>
      <c r="F157" s="2" t="s">
        <v>458</v>
      </c>
      <c r="G157" s="2" t="s">
        <v>1375</v>
      </c>
      <c r="H157" s="2" t="s">
        <v>1780</v>
      </c>
      <c r="I157" s="2" t="s">
        <v>1785</v>
      </c>
      <c r="J157" s="2" t="s">
        <v>1786</v>
      </c>
      <c r="K157" s="2">
        <v>431.4</v>
      </c>
      <c r="L157" s="2">
        <v>429.28</v>
      </c>
      <c r="M157" s="2" t="s">
        <v>1791</v>
      </c>
      <c r="N157" s="2" t="s">
        <v>1792</v>
      </c>
      <c r="O157" s="2" t="s">
        <v>1793</v>
      </c>
      <c r="P157" s="2" t="s">
        <v>1794</v>
      </c>
      <c r="Q157" t="e">
        <f t="shared" si="2"/>
        <v>#VALUE!</v>
      </c>
    </row>
    <row r="158" spans="1:17" x14ac:dyDescent="0.35">
      <c r="A158" t="s">
        <v>39</v>
      </c>
      <c r="B158" t="s">
        <v>1798</v>
      </c>
      <c r="C158" t="s">
        <v>41</v>
      </c>
      <c r="D158" t="s">
        <v>49</v>
      </c>
      <c r="E158" s="2" t="s">
        <v>52</v>
      </c>
      <c r="F158" s="2" t="s">
        <v>52</v>
      </c>
      <c r="G158" s="2" t="s">
        <v>52</v>
      </c>
      <c r="H158" s="2" t="s">
        <v>52</v>
      </c>
      <c r="I158" s="2" t="s">
        <v>52</v>
      </c>
      <c r="J158" s="2" t="s">
        <v>52</v>
      </c>
      <c r="K158" s="2">
        <v>0</v>
      </c>
      <c r="L158" s="2">
        <v>0</v>
      </c>
      <c r="M158" s="2" t="s">
        <v>52</v>
      </c>
      <c r="N158" s="2" t="s">
        <v>52</v>
      </c>
      <c r="O158" s="2" t="s">
        <v>52</v>
      </c>
      <c r="P158" s="2" t="s">
        <v>52</v>
      </c>
      <c r="Q158" t="e">
        <f t="shared" si="2"/>
        <v>#VALUE!</v>
      </c>
    </row>
    <row r="159" spans="1:17" x14ac:dyDescent="0.35">
      <c r="A159" t="s">
        <v>39</v>
      </c>
      <c r="B159" t="s">
        <v>1803</v>
      </c>
      <c r="C159" t="s">
        <v>41</v>
      </c>
      <c r="D159" t="s">
        <v>49</v>
      </c>
      <c r="E159" s="2" t="s">
        <v>52</v>
      </c>
      <c r="F159" s="2" t="s">
        <v>52</v>
      </c>
      <c r="G159" s="2" t="s">
        <v>52</v>
      </c>
      <c r="H159" s="2" t="s">
        <v>52</v>
      </c>
      <c r="I159" s="2" t="s">
        <v>52</v>
      </c>
      <c r="J159" s="2" t="s">
        <v>52</v>
      </c>
      <c r="K159" s="2">
        <v>0</v>
      </c>
      <c r="L159" s="2">
        <v>0</v>
      </c>
      <c r="M159" s="2" t="s">
        <v>52</v>
      </c>
      <c r="N159" s="2" t="s">
        <v>52</v>
      </c>
      <c r="O159" s="2" t="s">
        <v>52</v>
      </c>
      <c r="P159" s="2" t="s">
        <v>52</v>
      </c>
      <c r="Q159" t="e">
        <f t="shared" si="2"/>
        <v>#VALUE!</v>
      </c>
    </row>
    <row r="160" spans="1:17" x14ac:dyDescent="0.35">
      <c r="A160" t="s">
        <v>39</v>
      </c>
      <c r="B160" t="s">
        <v>1809</v>
      </c>
      <c r="C160" t="s">
        <v>41</v>
      </c>
      <c r="D160" t="s">
        <v>49</v>
      </c>
      <c r="E160" s="2" t="s">
        <v>52</v>
      </c>
      <c r="F160" s="2" t="s">
        <v>52</v>
      </c>
      <c r="G160" s="2" t="s">
        <v>52</v>
      </c>
      <c r="H160" s="2" t="s">
        <v>52</v>
      </c>
      <c r="I160" s="2" t="s">
        <v>52</v>
      </c>
      <c r="J160" s="2" t="s">
        <v>52</v>
      </c>
      <c r="K160" s="2">
        <v>0</v>
      </c>
      <c r="L160" s="2">
        <v>0</v>
      </c>
      <c r="M160" s="2" t="s">
        <v>52</v>
      </c>
      <c r="N160" s="2" t="s">
        <v>52</v>
      </c>
      <c r="O160" s="2" t="s">
        <v>52</v>
      </c>
      <c r="P160" s="2" t="s">
        <v>52</v>
      </c>
      <c r="Q160" t="e">
        <f t="shared" si="2"/>
        <v>#VALUE!</v>
      </c>
    </row>
    <row r="161" spans="1:17" x14ac:dyDescent="0.35">
      <c r="A161" t="s">
        <v>39</v>
      </c>
      <c r="B161" t="s">
        <v>1814</v>
      </c>
      <c r="C161" t="s">
        <v>41</v>
      </c>
      <c r="D161" t="s">
        <v>49</v>
      </c>
      <c r="E161" s="2" t="s">
        <v>52</v>
      </c>
      <c r="F161" s="2" t="s">
        <v>52</v>
      </c>
      <c r="G161" s="2" t="s">
        <v>52</v>
      </c>
      <c r="H161" s="2" t="s">
        <v>52</v>
      </c>
      <c r="I161" s="2" t="s">
        <v>52</v>
      </c>
      <c r="J161" s="2" t="s">
        <v>52</v>
      </c>
      <c r="K161" s="2">
        <v>0</v>
      </c>
      <c r="L161" s="2">
        <v>0</v>
      </c>
      <c r="M161" s="2" t="s">
        <v>52</v>
      </c>
      <c r="N161" s="2" t="s">
        <v>52</v>
      </c>
      <c r="O161" s="2" t="s">
        <v>52</v>
      </c>
      <c r="P161" s="2" t="s">
        <v>52</v>
      </c>
      <c r="Q161" t="e">
        <f t="shared" si="2"/>
        <v>#VALUE!</v>
      </c>
    </row>
    <row r="162" spans="1:17" x14ac:dyDescent="0.35">
      <c r="A162" t="s">
        <v>39</v>
      </c>
      <c r="B162" t="s">
        <v>1820</v>
      </c>
      <c r="C162" t="s">
        <v>41</v>
      </c>
      <c r="D162" t="s">
        <v>49</v>
      </c>
      <c r="E162" s="2" t="s">
        <v>52</v>
      </c>
      <c r="F162" s="2" t="s">
        <v>52</v>
      </c>
      <c r="G162" s="2" t="s">
        <v>52</v>
      </c>
      <c r="H162" s="2" t="s">
        <v>52</v>
      </c>
      <c r="I162" s="2" t="s">
        <v>52</v>
      </c>
      <c r="J162" s="2" t="s">
        <v>52</v>
      </c>
      <c r="K162" s="2">
        <v>0</v>
      </c>
      <c r="L162" s="2">
        <v>0</v>
      </c>
      <c r="M162" s="2" t="s">
        <v>52</v>
      </c>
      <c r="N162" s="2" t="s">
        <v>52</v>
      </c>
      <c r="O162" s="2" t="s">
        <v>52</v>
      </c>
      <c r="P162" s="2" t="s">
        <v>52</v>
      </c>
      <c r="Q162" t="e">
        <f t="shared" si="2"/>
        <v>#VALUE!</v>
      </c>
    </row>
    <row r="163" spans="1:17" x14ac:dyDescent="0.35">
      <c r="A163" t="s">
        <v>39</v>
      </c>
      <c r="B163" t="s">
        <v>1826</v>
      </c>
      <c r="C163" t="s">
        <v>41</v>
      </c>
      <c r="D163" t="s">
        <v>49</v>
      </c>
      <c r="E163" s="2" t="s">
        <v>1830</v>
      </c>
      <c r="F163" s="2" t="s">
        <v>1831</v>
      </c>
      <c r="G163" s="2" t="s">
        <v>1832</v>
      </c>
      <c r="H163" s="2" t="s">
        <v>1832</v>
      </c>
      <c r="I163" s="2" t="s">
        <v>1836</v>
      </c>
      <c r="J163" s="2" t="s">
        <v>1837</v>
      </c>
      <c r="K163" s="2">
        <v>58.52</v>
      </c>
      <c r="L163" s="2">
        <v>58.52</v>
      </c>
      <c r="M163" s="2" t="s">
        <v>1842</v>
      </c>
      <c r="N163" s="2" t="s">
        <v>1843</v>
      </c>
      <c r="O163" s="2" t="s">
        <v>1844</v>
      </c>
      <c r="P163" s="2" t="s">
        <v>1844</v>
      </c>
      <c r="Q163" t="e">
        <f t="shared" si="2"/>
        <v>#VALUE!</v>
      </c>
    </row>
    <row r="164" spans="1:17" x14ac:dyDescent="0.35">
      <c r="A164" t="s">
        <v>39</v>
      </c>
      <c r="B164" t="s">
        <v>1848</v>
      </c>
      <c r="C164" t="s">
        <v>41</v>
      </c>
      <c r="D164" t="s">
        <v>49</v>
      </c>
      <c r="E164" s="2" t="s">
        <v>1852</v>
      </c>
      <c r="F164" s="2" t="s">
        <v>1852</v>
      </c>
      <c r="G164" s="2" t="s">
        <v>1852</v>
      </c>
      <c r="H164" s="2" t="s">
        <v>1852</v>
      </c>
      <c r="I164" s="2" t="s">
        <v>1853</v>
      </c>
      <c r="J164" s="2" t="s">
        <v>1853</v>
      </c>
      <c r="K164" s="2">
        <v>99.66</v>
      </c>
      <c r="L164" s="2">
        <v>99.66</v>
      </c>
      <c r="M164" s="2" t="s">
        <v>1854</v>
      </c>
      <c r="N164" s="2" t="s">
        <v>1854</v>
      </c>
      <c r="O164" s="2" t="s">
        <v>1854</v>
      </c>
      <c r="P164" s="2" t="s">
        <v>1854</v>
      </c>
      <c r="Q164" t="e">
        <f t="shared" si="2"/>
        <v>#VALUE!</v>
      </c>
    </row>
    <row r="165" spans="1:17" x14ac:dyDescent="0.35">
      <c r="A165" t="s">
        <v>39</v>
      </c>
      <c r="B165" t="s">
        <v>1855</v>
      </c>
      <c r="C165" t="s">
        <v>41</v>
      </c>
      <c r="D165" t="s">
        <v>49</v>
      </c>
      <c r="E165" s="2" t="s">
        <v>1860</v>
      </c>
      <c r="F165" s="2" t="s">
        <v>1860</v>
      </c>
      <c r="G165" s="2" t="s">
        <v>1861</v>
      </c>
      <c r="H165" s="2" t="s">
        <v>1861</v>
      </c>
      <c r="I165" s="2" t="s">
        <v>1671</v>
      </c>
      <c r="J165" s="2" t="s">
        <v>1671</v>
      </c>
      <c r="K165" s="2">
        <v>2.48</v>
      </c>
      <c r="L165" s="2">
        <v>2.48</v>
      </c>
      <c r="M165" s="2" t="s">
        <v>1865</v>
      </c>
      <c r="N165" s="2" t="s">
        <v>1865</v>
      </c>
      <c r="O165" s="2" t="s">
        <v>1866</v>
      </c>
      <c r="P165" s="2" t="s">
        <v>1866</v>
      </c>
      <c r="Q165" t="e">
        <f t="shared" si="2"/>
        <v>#VALUE!</v>
      </c>
    </row>
    <row r="166" spans="1:17" x14ac:dyDescent="0.35">
      <c r="A166" t="s">
        <v>39</v>
      </c>
      <c r="B166" t="s">
        <v>1869</v>
      </c>
      <c r="C166" t="s">
        <v>41</v>
      </c>
      <c r="D166" t="s">
        <v>49</v>
      </c>
      <c r="E166" s="2" t="s">
        <v>64</v>
      </c>
      <c r="F166" s="2" t="s">
        <v>52</v>
      </c>
      <c r="G166" s="2" t="s">
        <v>52</v>
      </c>
      <c r="H166" s="2" t="s">
        <v>52</v>
      </c>
      <c r="I166" s="2" t="s">
        <v>1873</v>
      </c>
      <c r="J166" s="2" t="s">
        <v>52</v>
      </c>
      <c r="K166" s="2">
        <v>0</v>
      </c>
      <c r="L166" s="2">
        <v>0</v>
      </c>
      <c r="M166" s="2" t="s">
        <v>1875</v>
      </c>
      <c r="N166" s="2" t="s">
        <v>52</v>
      </c>
      <c r="O166" s="2" t="s">
        <v>52</v>
      </c>
      <c r="P166" s="2" t="s">
        <v>52</v>
      </c>
      <c r="Q166" t="e">
        <f t="shared" si="2"/>
        <v>#VALUE!</v>
      </c>
    </row>
    <row r="167" spans="1:17" x14ac:dyDescent="0.35">
      <c r="A167" t="s">
        <v>39</v>
      </c>
      <c r="B167" t="s">
        <v>1876</v>
      </c>
      <c r="C167" t="s">
        <v>41</v>
      </c>
      <c r="D167" t="s">
        <v>49</v>
      </c>
      <c r="E167" s="2" t="s">
        <v>52</v>
      </c>
      <c r="F167" s="2" t="s">
        <v>1145</v>
      </c>
      <c r="G167" s="2" t="s">
        <v>335</v>
      </c>
      <c r="H167" s="2" t="s">
        <v>1879</v>
      </c>
      <c r="I167" s="2" t="s">
        <v>52</v>
      </c>
      <c r="J167" s="2" t="s">
        <v>308</v>
      </c>
      <c r="K167" s="2">
        <v>112</v>
      </c>
      <c r="L167" s="2">
        <v>212.72</v>
      </c>
      <c r="M167" s="2" t="s">
        <v>52</v>
      </c>
      <c r="N167" s="2" t="s">
        <v>1883</v>
      </c>
      <c r="O167" s="2" t="s">
        <v>1884</v>
      </c>
      <c r="P167" s="2" t="s">
        <v>1885</v>
      </c>
      <c r="Q167" t="e">
        <f t="shared" si="2"/>
        <v>#VALUE!</v>
      </c>
    </row>
    <row r="168" spans="1:17" x14ac:dyDescent="0.35">
      <c r="A168" t="s">
        <v>39</v>
      </c>
      <c r="B168" t="s">
        <v>1887</v>
      </c>
      <c r="C168" t="s">
        <v>41</v>
      </c>
      <c r="D168" t="s">
        <v>49</v>
      </c>
      <c r="E168" s="2" t="s">
        <v>52</v>
      </c>
      <c r="F168" s="2" t="s">
        <v>52</v>
      </c>
      <c r="G168" s="2" t="s">
        <v>52</v>
      </c>
      <c r="H168" s="2" t="s">
        <v>52</v>
      </c>
      <c r="I168" s="2" t="s">
        <v>52</v>
      </c>
      <c r="J168" s="2" t="s">
        <v>52</v>
      </c>
      <c r="K168" s="2">
        <v>0</v>
      </c>
      <c r="L168" s="2">
        <v>0</v>
      </c>
      <c r="M168" s="2" t="s">
        <v>52</v>
      </c>
      <c r="N168" s="2" t="s">
        <v>52</v>
      </c>
      <c r="O168" s="2" t="s">
        <v>52</v>
      </c>
      <c r="P168" s="2" t="s">
        <v>52</v>
      </c>
      <c r="Q168" t="e">
        <f t="shared" si="2"/>
        <v>#VALUE!</v>
      </c>
    </row>
    <row r="169" spans="1:17" x14ac:dyDescent="0.35">
      <c r="A169" t="s">
        <v>39</v>
      </c>
      <c r="B169" t="s">
        <v>1891</v>
      </c>
      <c r="C169" t="s">
        <v>41</v>
      </c>
      <c r="D169" t="s">
        <v>49</v>
      </c>
      <c r="E169" s="2" t="s">
        <v>1359</v>
      </c>
      <c r="F169" s="2" t="s">
        <v>1894</v>
      </c>
      <c r="G169" s="2" t="s">
        <v>1284</v>
      </c>
      <c r="H169" s="2" t="s">
        <v>1895</v>
      </c>
      <c r="I169" s="2" t="s">
        <v>1897</v>
      </c>
      <c r="J169" s="2" t="s">
        <v>1703</v>
      </c>
      <c r="K169" s="2">
        <v>30.46</v>
      </c>
      <c r="L169" s="2">
        <v>26.95</v>
      </c>
      <c r="M169" s="2" t="s">
        <v>1900</v>
      </c>
      <c r="N169" s="2" t="s">
        <v>1901</v>
      </c>
      <c r="O169" s="2" t="s">
        <v>1902</v>
      </c>
      <c r="P169" s="2" t="s">
        <v>1903</v>
      </c>
      <c r="Q169" t="e">
        <f t="shared" si="2"/>
        <v>#VALUE!</v>
      </c>
    </row>
    <row r="170" spans="1:17" x14ac:dyDescent="0.35">
      <c r="A170" t="s">
        <v>39</v>
      </c>
      <c r="B170" t="s">
        <v>1905</v>
      </c>
      <c r="C170" t="s">
        <v>41</v>
      </c>
      <c r="D170" t="s">
        <v>49</v>
      </c>
      <c r="E170" s="2" t="s">
        <v>710</v>
      </c>
      <c r="F170" s="2" t="s">
        <v>479</v>
      </c>
      <c r="G170" s="2" t="s">
        <v>1910</v>
      </c>
      <c r="H170" s="2" t="s">
        <v>1911</v>
      </c>
      <c r="I170" s="2" t="s">
        <v>1268</v>
      </c>
      <c r="J170" s="2" t="s">
        <v>1914</v>
      </c>
      <c r="K170" s="2">
        <v>2.77</v>
      </c>
      <c r="L170" s="2">
        <v>3.34</v>
      </c>
      <c r="M170" s="2" t="s">
        <v>1917</v>
      </c>
      <c r="N170" s="2" t="s">
        <v>1918</v>
      </c>
      <c r="O170" s="2" t="s">
        <v>1919</v>
      </c>
      <c r="P170" s="2" t="s">
        <v>1920</v>
      </c>
      <c r="Q170" t="e">
        <f t="shared" si="2"/>
        <v>#VALUE!</v>
      </c>
    </row>
    <row r="171" spans="1:17" x14ac:dyDescent="0.35">
      <c r="A171" t="s">
        <v>39</v>
      </c>
      <c r="B171" t="s">
        <v>1923</v>
      </c>
      <c r="C171" t="s">
        <v>41</v>
      </c>
      <c r="D171" t="s">
        <v>49</v>
      </c>
      <c r="E171" s="2" t="s">
        <v>1927</v>
      </c>
      <c r="F171" s="2" t="s">
        <v>1928</v>
      </c>
      <c r="G171" s="2" t="s">
        <v>1929</v>
      </c>
      <c r="H171" s="2" t="s">
        <v>654</v>
      </c>
      <c r="I171" s="2" t="s">
        <v>459</v>
      </c>
      <c r="J171" s="2" t="s">
        <v>1599</v>
      </c>
      <c r="K171" s="2">
        <v>1.23</v>
      </c>
      <c r="L171" s="2">
        <v>0.56000000000000005</v>
      </c>
      <c r="M171" s="2" t="s">
        <v>1931</v>
      </c>
      <c r="N171" s="2" t="s">
        <v>1932</v>
      </c>
      <c r="O171" s="2" t="s">
        <v>1933</v>
      </c>
      <c r="P171" s="2" t="s">
        <v>1934</v>
      </c>
      <c r="Q171" t="e">
        <f t="shared" si="2"/>
        <v>#VALUE!</v>
      </c>
    </row>
    <row r="172" spans="1:17" x14ac:dyDescent="0.35">
      <c r="A172" t="s">
        <v>39</v>
      </c>
      <c r="B172" t="s">
        <v>1936</v>
      </c>
      <c r="C172" t="s">
        <v>41</v>
      </c>
      <c r="D172" t="s">
        <v>49</v>
      </c>
      <c r="E172" s="2" t="s">
        <v>1940</v>
      </c>
      <c r="F172" s="2" t="s">
        <v>1941</v>
      </c>
      <c r="G172" s="2" t="s">
        <v>1942</v>
      </c>
      <c r="H172" s="2" t="s">
        <v>1103</v>
      </c>
      <c r="I172" s="2" t="s">
        <v>1944</v>
      </c>
      <c r="J172" s="2" t="s">
        <v>776</v>
      </c>
      <c r="K172" s="2">
        <v>18.48</v>
      </c>
      <c r="L172" s="2">
        <v>5.28</v>
      </c>
      <c r="M172" s="2" t="s">
        <v>1947</v>
      </c>
      <c r="N172" s="2" t="s">
        <v>1948</v>
      </c>
      <c r="O172" s="2" t="s">
        <v>1949</v>
      </c>
      <c r="P172" s="2" t="s">
        <v>1950</v>
      </c>
      <c r="Q172" t="e">
        <f t="shared" si="2"/>
        <v>#VALUE!</v>
      </c>
    </row>
    <row r="173" spans="1:17" x14ac:dyDescent="0.35">
      <c r="A173" t="s">
        <v>39</v>
      </c>
      <c r="B173" t="s">
        <v>1951</v>
      </c>
      <c r="C173" t="s">
        <v>41</v>
      </c>
      <c r="D173" t="s">
        <v>49</v>
      </c>
      <c r="E173" s="2" t="s">
        <v>52</v>
      </c>
      <c r="F173" s="2" t="s">
        <v>1955</v>
      </c>
      <c r="G173" s="2" t="s">
        <v>1956</v>
      </c>
      <c r="H173" s="2" t="s">
        <v>1956</v>
      </c>
      <c r="I173" s="2" t="s">
        <v>52</v>
      </c>
      <c r="J173" s="2" t="s">
        <v>1958</v>
      </c>
      <c r="K173" s="2">
        <v>26.63</v>
      </c>
      <c r="L173" s="2">
        <v>26.63</v>
      </c>
      <c r="M173" s="2" t="s">
        <v>52</v>
      </c>
      <c r="N173" s="2" t="s">
        <v>1960</v>
      </c>
      <c r="O173" s="2" t="s">
        <v>1961</v>
      </c>
      <c r="P173" s="2" t="s">
        <v>1961</v>
      </c>
      <c r="Q173" t="e">
        <f t="shared" si="2"/>
        <v>#VALUE!</v>
      </c>
    </row>
    <row r="174" spans="1:17" x14ac:dyDescent="0.35">
      <c r="A174" t="s">
        <v>39</v>
      </c>
      <c r="B174" t="s">
        <v>1962</v>
      </c>
      <c r="C174" t="s">
        <v>41</v>
      </c>
      <c r="D174" t="s">
        <v>49</v>
      </c>
      <c r="E174" s="2" t="s">
        <v>1965</v>
      </c>
      <c r="F174" s="2" t="s">
        <v>52</v>
      </c>
      <c r="G174" s="2" t="s">
        <v>53</v>
      </c>
      <c r="H174" s="2" t="s">
        <v>53</v>
      </c>
      <c r="I174" s="2" t="s">
        <v>1967</v>
      </c>
      <c r="J174" s="2" t="s">
        <v>52</v>
      </c>
      <c r="K174" s="2">
        <v>2.88</v>
      </c>
      <c r="L174" s="2">
        <v>2.88</v>
      </c>
      <c r="M174" s="2" t="s">
        <v>1969</v>
      </c>
      <c r="N174" s="2" t="s">
        <v>52</v>
      </c>
      <c r="O174" s="2" t="s">
        <v>1970</v>
      </c>
      <c r="P174" s="2" t="s">
        <v>1970</v>
      </c>
      <c r="Q174" t="e">
        <f t="shared" si="2"/>
        <v>#VALUE!</v>
      </c>
    </row>
    <row r="175" spans="1:17" x14ac:dyDescent="0.35">
      <c r="A175" t="s">
        <v>39</v>
      </c>
      <c r="B175" t="s">
        <v>1971</v>
      </c>
      <c r="C175" t="s">
        <v>41</v>
      </c>
      <c r="D175" t="s">
        <v>49</v>
      </c>
      <c r="E175" s="2" t="s">
        <v>52</v>
      </c>
      <c r="F175" s="2" t="s">
        <v>52</v>
      </c>
      <c r="G175" s="2" t="s">
        <v>52</v>
      </c>
      <c r="H175" s="2" t="s">
        <v>52</v>
      </c>
      <c r="I175" s="2" t="s">
        <v>52</v>
      </c>
      <c r="J175" s="2" t="s">
        <v>52</v>
      </c>
      <c r="K175" s="2">
        <v>0</v>
      </c>
      <c r="L175" s="2">
        <v>0</v>
      </c>
      <c r="M175" s="2" t="s">
        <v>52</v>
      </c>
      <c r="N175" s="2" t="s">
        <v>52</v>
      </c>
      <c r="O175" s="2" t="s">
        <v>52</v>
      </c>
      <c r="P175" s="2" t="s">
        <v>52</v>
      </c>
      <c r="Q175" t="e">
        <f t="shared" si="2"/>
        <v>#VALUE!</v>
      </c>
    </row>
    <row r="176" spans="1:17" x14ac:dyDescent="0.35">
      <c r="A176" t="s">
        <v>39</v>
      </c>
      <c r="B176" t="s">
        <v>1974</v>
      </c>
      <c r="C176" t="s">
        <v>41</v>
      </c>
      <c r="D176" t="s">
        <v>49</v>
      </c>
      <c r="E176" s="2" t="s">
        <v>1852</v>
      </c>
      <c r="F176" s="2" t="s">
        <v>1852</v>
      </c>
      <c r="G176" s="2" t="s">
        <v>1852</v>
      </c>
      <c r="H176" s="2" t="s">
        <v>1852</v>
      </c>
      <c r="I176" s="2" t="s">
        <v>1980</v>
      </c>
      <c r="J176" s="2" t="s">
        <v>1980</v>
      </c>
      <c r="K176" s="2">
        <v>76.98</v>
      </c>
      <c r="L176" s="2">
        <v>76.98</v>
      </c>
      <c r="M176" s="2" t="s">
        <v>1982</v>
      </c>
      <c r="N176" s="2" t="s">
        <v>1982</v>
      </c>
      <c r="O176" s="2" t="s">
        <v>1982</v>
      </c>
      <c r="P176" s="2" t="s">
        <v>1982</v>
      </c>
      <c r="Q176" t="e">
        <f t="shared" si="2"/>
        <v>#VALUE!</v>
      </c>
    </row>
    <row r="177" spans="1:17" x14ac:dyDescent="0.35">
      <c r="A177" t="s">
        <v>39</v>
      </c>
      <c r="B177" t="s">
        <v>1983</v>
      </c>
      <c r="C177" t="s">
        <v>41</v>
      </c>
      <c r="D177" t="s">
        <v>49</v>
      </c>
      <c r="E177" s="2" t="s">
        <v>52</v>
      </c>
      <c r="F177" s="2" t="s">
        <v>52</v>
      </c>
      <c r="G177" s="2" t="s">
        <v>52</v>
      </c>
      <c r="H177" s="2" t="s">
        <v>52</v>
      </c>
      <c r="I177" s="2" t="s">
        <v>982</v>
      </c>
      <c r="J177" s="2" t="s">
        <v>52</v>
      </c>
      <c r="K177" s="2">
        <v>0</v>
      </c>
      <c r="L177" s="2">
        <v>0</v>
      </c>
      <c r="M177" s="2" t="s">
        <v>166</v>
      </c>
      <c r="N177" s="2" t="s">
        <v>52</v>
      </c>
      <c r="O177" s="2" t="s">
        <v>52</v>
      </c>
      <c r="P177" s="2" t="s">
        <v>52</v>
      </c>
      <c r="Q177" t="e">
        <f t="shared" si="2"/>
        <v>#VALUE!</v>
      </c>
    </row>
    <row r="178" spans="1:17" x14ac:dyDescent="0.35">
      <c r="A178" t="s">
        <v>39</v>
      </c>
      <c r="B178" t="s">
        <v>1988</v>
      </c>
      <c r="C178" t="s">
        <v>41</v>
      </c>
      <c r="D178" t="s">
        <v>49</v>
      </c>
      <c r="E178" s="2" t="s">
        <v>52</v>
      </c>
      <c r="F178" s="2" t="s">
        <v>52</v>
      </c>
      <c r="G178" s="2" t="s">
        <v>52</v>
      </c>
      <c r="H178" s="2" t="s">
        <v>52</v>
      </c>
      <c r="I178" s="2" t="s">
        <v>52</v>
      </c>
      <c r="J178" s="2" t="s">
        <v>52</v>
      </c>
      <c r="K178" s="2">
        <v>0</v>
      </c>
      <c r="L178" s="2">
        <v>0</v>
      </c>
      <c r="M178" s="2" t="s">
        <v>52</v>
      </c>
      <c r="N178" s="2" t="s">
        <v>52</v>
      </c>
      <c r="O178" s="2" t="s">
        <v>52</v>
      </c>
      <c r="P178" s="2" t="s">
        <v>52</v>
      </c>
      <c r="Q178" t="e">
        <f t="shared" si="2"/>
        <v>#VALUE!</v>
      </c>
    </row>
    <row r="179" spans="1:17" x14ac:dyDescent="0.35">
      <c r="A179" t="s">
        <v>39</v>
      </c>
      <c r="B179" t="s">
        <v>1993</v>
      </c>
      <c r="C179" t="s">
        <v>41</v>
      </c>
      <c r="D179" t="s">
        <v>49</v>
      </c>
      <c r="E179" s="2" t="s">
        <v>65</v>
      </c>
      <c r="F179" s="2" t="s">
        <v>52</v>
      </c>
      <c r="G179" s="2" t="s">
        <v>52</v>
      </c>
      <c r="H179" s="2" t="s">
        <v>52</v>
      </c>
      <c r="I179" s="2" t="s">
        <v>653</v>
      </c>
      <c r="J179" s="2" t="s">
        <v>52</v>
      </c>
      <c r="K179" s="2">
        <v>0</v>
      </c>
      <c r="L179" s="2">
        <v>0</v>
      </c>
      <c r="M179" s="2" t="s">
        <v>1997</v>
      </c>
      <c r="N179" s="2" t="s">
        <v>52</v>
      </c>
      <c r="O179" s="2" t="s">
        <v>52</v>
      </c>
      <c r="P179" s="2" t="s">
        <v>52</v>
      </c>
      <c r="Q179" t="e">
        <f t="shared" si="2"/>
        <v>#VALUE!</v>
      </c>
    </row>
    <row r="180" spans="1:17" x14ac:dyDescent="0.35">
      <c r="A180" t="s">
        <v>39</v>
      </c>
      <c r="B180" t="s">
        <v>1998</v>
      </c>
      <c r="C180" t="s">
        <v>41</v>
      </c>
      <c r="D180" t="s">
        <v>49</v>
      </c>
      <c r="E180" s="2" t="s">
        <v>52</v>
      </c>
      <c r="F180" s="2" t="s">
        <v>52</v>
      </c>
      <c r="G180" s="2" t="s">
        <v>52</v>
      </c>
      <c r="H180" s="2" t="s">
        <v>52</v>
      </c>
      <c r="I180" s="2" t="s">
        <v>52</v>
      </c>
      <c r="J180" s="2" t="s">
        <v>52</v>
      </c>
      <c r="K180" s="2">
        <v>0</v>
      </c>
      <c r="L180" s="2">
        <v>0</v>
      </c>
      <c r="M180" s="2" t="s">
        <v>52</v>
      </c>
      <c r="N180" s="2" t="s">
        <v>52</v>
      </c>
      <c r="O180" s="2" t="s">
        <v>52</v>
      </c>
      <c r="P180" s="2" t="s">
        <v>52</v>
      </c>
      <c r="Q180" t="e">
        <f t="shared" si="2"/>
        <v>#VALUE!</v>
      </c>
    </row>
    <row r="181" spans="1:17" x14ac:dyDescent="0.35">
      <c r="A181" t="s">
        <v>39</v>
      </c>
      <c r="B181" t="s">
        <v>2003</v>
      </c>
      <c r="C181" t="s">
        <v>72</v>
      </c>
      <c r="D181" t="s">
        <v>175</v>
      </c>
      <c r="E181" s="2" t="s">
        <v>2006</v>
      </c>
      <c r="F181" s="2" t="s">
        <v>2007</v>
      </c>
      <c r="G181" s="2" t="s">
        <v>52</v>
      </c>
      <c r="H181" s="2" t="s">
        <v>2007</v>
      </c>
      <c r="I181" s="2" t="s">
        <v>2008</v>
      </c>
      <c r="J181" s="2" t="s">
        <v>2008</v>
      </c>
      <c r="K181" s="2">
        <v>0</v>
      </c>
      <c r="L181" s="2">
        <v>0.18</v>
      </c>
      <c r="M181" s="2" t="s">
        <v>1720</v>
      </c>
      <c r="N181" s="2" t="s">
        <v>1396</v>
      </c>
      <c r="O181" s="2" t="s">
        <v>52</v>
      </c>
      <c r="P181" s="2" t="s">
        <v>1396</v>
      </c>
      <c r="Q181" t="e">
        <f t="shared" si="2"/>
        <v>#VALUE!</v>
      </c>
    </row>
    <row r="182" spans="1:17" x14ac:dyDescent="0.35">
      <c r="A182" t="s">
        <v>39</v>
      </c>
      <c r="B182" t="s">
        <v>2010</v>
      </c>
      <c r="C182" t="s">
        <v>41</v>
      </c>
      <c r="D182" t="s">
        <v>49</v>
      </c>
      <c r="E182" s="2" t="s">
        <v>760</v>
      </c>
      <c r="F182" s="2" t="s">
        <v>760</v>
      </c>
      <c r="G182" s="2" t="s">
        <v>2012</v>
      </c>
      <c r="H182" s="2" t="s">
        <v>1255</v>
      </c>
      <c r="I182" s="2" t="s">
        <v>897</v>
      </c>
      <c r="J182" s="2" t="s">
        <v>897</v>
      </c>
      <c r="K182" s="2">
        <v>2.64</v>
      </c>
      <c r="L182" s="2">
        <v>1.32</v>
      </c>
      <c r="M182" s="2" t="s">
        <v>2013</v>
      </c>
      <c r="N182" s="2" t="s">
        <v>2013</v>
      </c>
      <c r="O182" s="2" t="s">
        <v>2014</v>
      </c>
      <c r="P182" s="2" t="s">
        <v>2015</v>
      </c>
      <c r="Q182" t="e">
        <f t="shared" si="2"/>
        <v>#VALUE!</v>
      </c>
    </row>
    <row r="183" spans="1:17" x14ac:dyDescent="0.35">
      <c r="A183" t="s">
        <v>39</v>
      </c>
      <c r="B183" t="s">
        <v>2016</v>
      </c>
      <c r="C183" t="s">
        <v>72</v>
      </c>
      <c r="D183" t="s">
        <v>212</v>
      </c>
      <c r="E183" s="2" t="s">
        <v>52</v>
      </c>
      <c r="F183" s="2" t="s">
        <v>52</v>
      </c>
      <c r="G183" s="2" t="s">
        <v>52</v>
      </c>
      <c r="H183" s="2" t="s">
        <v>52</v>
      </c>
      <c r="I183" s="2" t="s">
        <v>52</v>
      </c>
      <c r="J183" s="2" t="s">
        <v>52</v>
      </c>
      <c r="K183" s="2">
        <v>0</v>
      </c>
      <c r="L183" s="2">
        <v>0</v>
      </c>
      <c r="M183" s="2" t="s">
        <v>52</v>
      </c>
      <c r="N183" s="2" t="s">
        <v>52</v>
      </c>
      <c r="O183" s="2" t="s">
        <v>52</v>
      </c>
      <c r="P183" s="2" t="s">
        <v>52</v>
      </c>
      <c r="Q183" t="e">
        <f t="shared" si="2"/>
        <v>#VALUE!</v>
      </c>
    </row>
    <row r="184" spans="1:17" x14ac:dyDescent="0.35">
      <c r="A184" t="s">
        <v>39</v>
      </c>
      <c r="B184" t="s">
        <v>2022</v>
      </c>
      <c r="C184" t="s">
        <v>41</v>
      </c>
      <c r="D184" t="s">
        <v>49</v>
      </c>
      <c r="E184" s="2" t="s">
        <v>52</v>
      </c>
      <c r="F184" s="2" t="s">
        <v>65</v>
      </c>
      <c r="G184" s="2" t="s">
        <v>1386</v>
      </c>
      <c r="H184" s="2" t="s">
        <v>1386</v>
      </c>
      <c r="I184" s="2" t="s">
        <v>52</v>
      </c>
      <c r="J184" s="2" t="s">
        <v>179</v>
      </c>
      <c r="K184" s="2">
        <v>1.69</v>
      </c>
      <c r="L184" s="2">
        <v>1.69</v>
      </c>
      <c r="M184" s="2" t="s">
        <v>52</v>
      </c>
      <c r="N184" s="2" t="s">
        <v>1651</v>
      </c>
      <c r="O184" s="2" t="s">
        <v>2026</v>
      </c>
      <c r="P184" s="2" t="s">
        <v>2026</v>
      </c>
      <c r="Q184" t="e">
        <f t="shared" si="2"/>
        <v>#VALUE!</v>
      </c>
    </row>
    <row r="185" spans="1:17" x14ac:dyDescent="0.35">
      <c r="A185" t="s">
        <v>39</v>
      </c>
      <c r="B185" t="s">
        <v>2028</v>
      </c>
      <c r="C185" t="s">
        <v>41</v>
      </c>
      <c r="D185" t="s">
        <v>49</v>
      </c>
      <c r="E185" s="2" t="s">
        <v>2008</v>
      </c>
      <c r="F185" s="2" t="s">
        <v>52</v>
      </c>
      <c r="G185" s="2" t="s">
        <v>52</v>
      </c>
      <c r="H185" s="2" t="s">
        <v>52</v>
      </c>
      <c r="I185" s="2" t="s">
        <v>2030</v>
      </c>
      <c r="J185" s="2" t="s">
        <v>52</v>
      </c>
      <c r="K185" s="2">
        <v>0</v>
      </c>
      <c r="L185" s="2">
        <v>0</v>
      </c>
      <c r="M185" s="2" t="s">
        <v>1688</v>
      </c>
      <c r="N185" s="2" t="s">
        <v>52</v>
      </c>
      <c r="O185" s="2" t="s">
        <v>52</v>
      </c>
      <c r="P185" s="2" t="s">
        <v>52</v>
      </c>
      <c r="Q185" t="e">
        <f t="shared" si="2"/>
        <v>#VALUE!</v>
      </c>
    </row>
    <row r="186" spans="1:17" x14ac:dyDescent="0.35">
      <c r="A186" t="s">
        <v>39</v>
      </c>
      <c r="B186" t="s">
        <v>2032</v>
      </c>
      <c r="C186" t="s">
        <v>41</v>
      </c>
      <c r="D186" t="s">
        <v>49</v>
      </c>
      <c r="E186" s="2" t="s">
        <v>52</v>
      </c>
      <c r="F186" s="2" t="s">
        <v>1452</v>
      </c>
      <c r="G186" s="2" t="s">
        <v>1862</v>
      </c>
      <c r="H186" s="2" t="s">
        <v>1862</v>
      </c>
      <c r="I186" s="2" t="s">
        <v>52</v>
      </c>
      <c r="J186" s="2" t="s">
        <v>2034</v>
      </c>
      <c r="K186" s="2">
        <v>28.25</v>
      </c>
      <c r="L186" s="2">
        <v>28.25</v>
      </c>
      <c r="M186" s="2" t="s">
        <v>52</v>
      </c>
      <c r="N186" s="2" t="s">
        <v>2037</v>
      </c>
      <c r="O186" s="2" t="s">
        <v>2038</v>
      </c>
      <c r="P186" s="2" t="s">
        <v>2038</v>
      </c>
      <c r="Q186" t="e">
        <f t="shared" si="2"/>
        <v>#VALUE!</v>
      </c>
    </row>
    <row r="187" spans="1:17" x14ac:dyDescent="0.35">
      <c r="A187" t="s">
        <v>39</v>
      </c>
      <c r="B187" t="s">
        <v>2041</v>
      </c>
      <c r="C187" t="s">
        <v>41</v>
      </c>
      <c r="D187" t="s">
        <v>49</v>
      </c>
      <c r="E187" s="2" t="s">
        <v>52</v>
      </c>
      <c r="F187" s="2" t="s">
        <v>52</v>
      </c>
      <c r="G187" s="2" t="s">
        <v>52</v>
      </c>
      <c r="H187" s="2" t="s">
        <v>52</v>
      </c>
      <c r="I187" s="2" t="s">
        <v>52</v>
      </c>
      <c r="J187" s="2" t="s">
        <v>52</v>
      </c>
      <c r="K187" s="2">
        <v>0</v>
      </c>
      <c r="L187" s="2">
        <v>0</v>
      </c>
      <c r="M187" s="2" t="s">
        <v>52</v>
      </c>
      <c r="N187" s="2" t="s">
        <v>52</v>
      </c>
      <c r="O187" s="2" t="s">
        <v>52</v>
      </c>
      <c r="P187" s="2" t="s">
        <v>52</v>
      </c>
      <c r="Q187" t="e">
        <f t="shared" si="2"/>
        <v>#VALUE!</v>
      </c>
    </row>
    <row r="188" spans="1:17" x14ac:dyDescent="0.35">
      <c r="A188" t="s">
        <v>39</v>
      </c>
      <c r="B188" t="s">
        <v>2046</v>
      </c>
      <c r="C188" t="s">
        <v>72</v>
      </c>
      <c r="D188" t="s">
        <v>555</v>
      </c>
      <c r="E188" s="2" t="s">
        <v>52</v>
      </c>
      <c r="F188" s="2" t="s">
        <v>2049</v>
      </c>
      <c r="G188" s="2" t="s">
        <v>2049</v>
      </c>
      <c r="H188" s="2" t="s">
        <v>2049</v>
      </c>
      <c r="I188" s="2" t="s">
        <v>52</v>
      </c>
      <c r="J188" s="2" t="s">
        <v>2051</v>
      </c>
      <c r="K188" s="2">
        <v>0.24</v>
      </c>
      <c r="L188" s="2">
        <v>0.24</v>
      </c>
      <c r="M188" s="2" t="s">
        <v>52</v>
      </c>
      <c r="N188" s="2" t="s">
        <v>2052</v>
      </c>
      <c r="O188" s="2" t="s">
        <v>2052</v>
      </c>
      <c r="P188" s="2" t="s">
        <v>2052</v>
      </c>
      <c r="Q188" t="e">
        <f t="shared" si="2"/>
        <v>#VALUE!</v>
      </c>
    </row>
    <row r="189" spans="1:17" x14ac:dyDescent="0.35">
      <c r="A189" t="s">
        <v>39</v>
      </c>
      <c r="B189" t="s">
        <v>2053</v>
      </c>
      <c r="C189" t="s">
        <v>72</v>
      </c>
      <c r="D189" t="s">
        <v>555</v>
      </c>
      <c r="E189" s="2" t="s">
        <v>52</v>
      </c>
      <c r="F189" s="2" t="s">
        <v>2055</v>
      </c>
      <c r="G189" s="2" t="s">
        <v>2056</v>
      </c>
      <c r="H189" s="2" t="s">
        <v>2056</v>
      </c>
      <c r="I189" s="2" t="s">
        <v>52</v>
      </c>
      <c r="J189" s="2" t="s">
        <v>1670</v>
      </c>
      <c r="K189" s="2">
        <v>1.7</v>
      </c>
      <c r="L189" s="2">
        <v>1.7</v>
      </c>
      <c r="M189" s="2" t="s">
        <v>52</v>
      </c>
      <c r="N189" s="2" t="s">
        <v>2059</v>
      </c>
      <c r="O189" s="2" t="s">
        <v>755</v>
      </c>
      <c r="P189" s="2" t="s">
        <v>755</v>
      </c>
      <c r="Q189" t="e">
        <f t="shared" si="2"/>
        <v>#VALUE!</v>
      </c>
    </row>
    <row r="190" spans="1:17" x14ac:dyDescent="0.35">
      <c r="A190" t="s">
        <v>39</v>
      </c>
      <c r="B190" t="s">
        <v>2063</v>
      </c>
      <c r="C190" t="s">
        <v>72</v>
      </c>
      <c r="D190" t="s">
        <v>2078</v>
      </c>
      <c r="E190" s="2" t="s">
        <v>178</v>
      </c>
      <c r="F190" s="2" t="s">
        <v>2068</v>
      </c>
      <c r="G190" s="2" t="s">
        <v>2068</v>
      </c>
      <c r="H190" s="2" t="s">
        <v>2068</v>
      </c>
      <c r="I190" s="2" t="s">
        <v>2069</v>
      </c>
      <c r="J190" s="2" t="s">
        <v>2070</v>
      </c>
      <c r="K190" s="2">
        <v>2.5499999999999998</v>
      </c>
      <c r="L190" s="2">
        <v>2.5499999999999998</v>
      </c>
      <c r="M190" s="2" t="s">
        <v>2074</v>
      </c>
      <c r="N190" s="2" t="s">
        <v>2075</v>
      </c>
      <c r="O190" s="2" t="s">
        <v>2075</v>
      </c>
      <c r="P190" s="2" t="s">
        <v>2075</v>
      </c>
      <c r="Q190" t="e">
        <f t="shared" si="2"/>
        <v>#VALUE!</v>
      </c>
    </row>
    <row r="191" spans="1:17" x14ac:dyDescent="0.35">
      <c r="A191" t="s">
        <v>39</v>
      </c>
      <c r="B191" t="s">
        <v>2079</v>
      </c>
      <c r="C191" t="s">
        <v>72</v>
      </c>
      <c r="D191" t="s">
        <v>2078</v>
      </c>
      <c r="E191" s="2" t="s">
        <v>2082</v>
      </c>
      <c r="F191" s="2" t="s">
        <v>2083</v>
      </c>
      <c r="G191" s="2" t="s">
        <v>2084</v>
      </c>
      <c r="H191" s="2" t="s">
        <v>2084</v>
      </c>
      <c r="I191" s="2" t="s">
        <v>2086</v>
      </c>
      <c r="J191" s="2" t="s">
        <v>2087</v>
      </c>
      <c r="K191" s="2">
        <v>3.83</v>
      </c>
      <c r="L191" s="2">
        <v>3.83</v>
      </c>
      <c r="M191" s="2" t="s">
        <v>2089</v>
      </c>
      <c r="N191" s="2" t="s">
        <v>2090</v>
      </c>
      <c r="O191" s="2" t="s">
        <v>2091</v>
      </c>
      <c r="P191" s="2" t="s">
        <v>2091</v>
      </c>
      <c r="Q191" t="e">
        <f t="shared" si="2"/>
        <v>#VALUE!</v>
      </c>
    </row>
    <row r="192" spans="1:17" x14ac:dyDescent="0.35">
      <c r="A192" t="s">
        <v>39</v>
      </c>
      <c r="B192" t="s">
        <v>2092</v>
      </c>
      <c r="C192" t="s">
        <v>72</v>
      </c>
      <c r="D192" t="s">
        <v>2078</v>
      </c>
      <c r="E192" s="2" t="s">
        <v>223</v>
      </c>
      <c r="F192" s="2" t="s">
        <v>2096</v>
      </c>
      <c r="G192" s="2" t="s">
        <v>2097</v>
      </c>
      <c r="H192" s="2" t="s">
        <v>2097</v>
      </c>
      <c r="I192" s="2" t="s">
        <v>2100</v>
      </c>
      <c r="J192" s="2" t="s">
        <v>2101</v>
      </c>
      <c r="K192" s="2">
        <v>30.1</v>
      </c>
      <c r="L192" s="2">
        <v>30.1</v>
      </c>
      <c r="M192" s="2" t="s">
        <v>2106</v>
      </c>
      <c r="N192" s="2" t="s">
        <v>2107</v>
      </c>
      <c r="O192" s="2" t="s">
        <v>2108</v>
      </c>
      <c r="P192" s="2" t="s">
        <v>2108</v>
      </c>
      <c r="Q192" t="e">
        <f t="shared" si="2"/>
        <v>#VALUE!</v>
      </c>
    </row>
    <row r="193" spans="1:17" x14ac:dyDescent="0.35">
      <c r="A193" t="s">
        <v>39</v>
      </c>
      <c r="B193" t="s">
        <v>2112</v>
      </c>
      <c r="C193" t="s">
        <v>72</v>
      </c>
      <c r="D193" t="s">
        <v>2078</v>
      </c>
      <c r="E193" s="2" t="s">
        <v>1340</v>
      </c>
      <c r="F193" s="2" t="s">
        <v>318</v>
      </c>
      <c r="G193" s="2" t="s">
        <v>318</v>
      </c>
      <c r="H193" s="2" t="s">
        <v>318</v>
      </c>
      <c r="I193" s="2" t="s">
        <v>2102</v>
      </c>
      <c r="J193" s="2" t="s">
        <v>753</v>
      </c>
      <c r="K193" s="2">
        <v>16.690000000000001</v>
      </c>
      <c r="L193" s="2">
        <v>16.690000000000001</v>
      </c>
      <c r="M193" s="2" t="s">
        <v>2109</v>
      </c>
      <c r="N193" s="2" t="s">
        <v>2119</v>
      </c>
      <c r="O193" s="2" t="s">
        <v>2119</v>
      </c>
      <c r="P193" s="2" t="s">
        <v>2119</v>
      </c>
      <c r="Q193" t="e">
        <f t="shared" si="2"/>
        <v>#VALUE!</v>
      </c>
    </row>
    <row r="194" spans="1:17" x14ac:dyDescent="0.35">
      <c r="A194" t="s">
        <v>39</v>
      </c>
      <c r="B194" t="s">
        <v>2122</v>
      </c>
      <c r="C194" t="s">
        <v>72</v>
      </c>
      <c r="D194" t="s">
        <v>2078</v>
      </c>
      <c r="E194" s="2" t="s">
        <v>1852</v>
      </c>
      <c r="F194" s="2" t="s">
        <v>52</v>
      </c>
      <c r="G194" s="2" t="s">
        <v>937</v>
      </c>
      <c r="H194" s="2" t="s">
        <v>937</v>
      </c>
      <c r="I194" s="2" t="s">
        <v>1255</v>
      </c>
      <c r="J194" s="2" t="s">
        <v>52</v>
      </c>
      <c r="K194" s="2">
        <v>0.72</v>
      </c>
      <c r="L194" s="2">
        <v>0.72</v>
      </c>
      <c r="M194" s="2" t="s">
        <v>563</v>
      </c>
      <c r="N194" s="2" t="s">
        <v>52</v>
      </c>
      <c r="O194" s="2" t="s">
        <v>2127</v>
      </c>
      <c r="P194" s="2" t="s">
        <v>2127</v>
      </c>
      <c r="Q194" t="e">
        <f t="shared" ref="Q194:Q207" si="3">IF(F194&lt;&gt;0,(G194/F194)-1,"")</f>
        <v>#VALUE!</v>
      </c>
    </row>
    <row r="195" spans="1:17" x14ac:dyDescent="0.35">
      <c r="A195" t="s">
        <v>39</v>
      </c>
      <c r="B195" t="s">
        <v>2130</v>
      </c>
      <c r="C195" t="s">
        <v>72</v>
      </c>
      <c r="D195" t="s">
        <v>2078</v>
      </c>
      <c r="E195" s="2" t="s">
        <v>2133</v>
      </c>
      <c r="F195" s="2" t="s">
        <v>550</v>
      </c>
      <c r="G195" s="2" t="s">
        <v>2134</v>
      </c>
      <c r="H195" s="2" t="s">
        <v>2134</v>
      </c>
      <c r="I195" s="2" t="s">
        <v>1779</v>
      </c>
      <c r="J195" s="2" t="s">
        <v>2135</v>
      </c>
      <c r="K195" s="2">
        <v>1.1299999999999999</v>
      </c>
      <c r="L195" s="2">
        <v>1.1299999999999999</v>
      </c>
      <c r="M195" s="2" t="s">
        <v>2137</v>
      </c>
      <c r="N195" s="2" t="s">
        <v>2138</v>
      </c>
      <c r="O195" s="2" t="s">
        <v>2139</v>
      </c>
      <c r="P195" s="2" t="s">
        <v>2139</v>
      </c>
      <c r="Q195" t="e">
        <f t="shared" si="3"/>
        <v>#VALUE!</v>
      </c>
    </row>
    <row r="196" spans="1:17" x14ac:dyDescent="0.35">
      <c r="A196" t="s">
        <v>39</v>
      </c>
      <c r="B196" t="s">
        <v>2140</v>
      </c>
      <c r="C196" t="s">
        <v>72</v>
      </c>
      <c r="D196" t="s">
        <v>555</v>
      </c>
      <c r="E196" s="2" t="s">
        <v>52</v>
      </c>
      <c r="F196" s="2" t="s">
        <v>2142</v>
      </c>
      <c r="G196" s="2" t="s">
        <v>2143</v>
      </c>
      <c r="H196" s="2" t="s">
        <v>2143</v>
      </c>
      <c r="I196" s="2" t="s">
        <v>52</v>
      </c>
      <c r="J196" s="2" t="s">
        <v>2146</v>
      </c>
      <c r="K196" s="2">
        <v>1.57</v>
      </c>
      <c r="L196" s="2">
        <v>1.57</v>
      </c>
      <c r="M196" s="2" t="s">
        <v>52</v>
      </c>
      <c r="N196" s="2" t="s">
        <v>894</v>
      </c>
      <c r="O196" s="2" t="s">
        <v>2148</v>
      </c>
      <c r="P196" s="2" t="s">
        <v>2148</v>
      </c>
      <c r="Q196" t="e">
        <f t="shared" si="3"/>
        <v>#VALUE!</v>
      </c>
    </row>
    <row r="197" spans="1:17" x14ac:dyDescent="0.35">
      <c r="A197" t="s">
        <v>39</v>
      </c>
      <c r="B197" t="s">
        <v>2151</v>
      </c>
      <c r="C197" t="s">
        <v>72</v>
      </c>
      <c r="D197" t="s">
        <v>555</v>
      </c>
      <c r="E197" s="2" t="s">
        <v>894</v>
      </c>
      <c r="F197" s="2" t="s">
        <v>891</v>
      </c>
      <c r="G197" s="2" t="s">
        <v>893</v>
      </c>
      <c r="H197" s="2" t="s">
        <v>893</v>
      </c>
      <c r="I197" s="2" t="s">
        <v>2155</v>
      </c>
      <c r="J197" s="2" t="s">
        <v>2156</v>
      </c>
      <c r="K197" s="2">
        <v>3</v>
      </c>
      <c r="L197" s="2">
        <v>3</v>
      </c>
      <c r="M197" s="2" t="s">
        <v>2158</v>
      </c>
      <c r="N197" s="2" t="s">
        <v>2159</v>
      </c>
      <c r="O197" s="2" t="s">
        <v>2160</v>
      </c>
      <c r="P197" s="2" t="s">
        <v>2160</v>
      </c>
      <c r="Q197" t="e">
        <f t="shared" si="3"/>
        <v>#VALUE!</v>
      </c>
    </row>
    <row r="198" spans="1:17" x14ac:dyDescent="0.35">
      <c r="A198" t="s">
        <v>39</v>
      </c>
      <c r="B198" t="s">
        <v>2161</v>
      </c>
      <c r="C198" t="s">
        <v>72</v>
      </c>
      <c r="D198" t="s">
        <v>1361</v>
      </c>
      <c r="E198" s="2" t="s">
        <v>52</v>
      </c>
      <c r="F198" s="2" t="s">
        <v>52</v>
      </c>
      <c r="G198" s="2" t="s">
        <v>52</v>
      </c>
      <c r="H198" s="2" t="s">
        <v>52</v>
      </c>
      <c r="I198" s="2" t="s">
        <v>52</v>
      </c>
      <c r="J198" s="2" t="s">
        <v>52</v>
      </c>
      <c r="K198" s="2">
        <v>0</v>
      </c>
      <c r="L198" s="2">
        <v>0</v>
      </c>
      <c r="M198" s="2" t="s">
        <v>52</v>
      </c>
      <c r="N198" s="2" t="s">
        <v>52</v>
      </c>
      <c r="O198" s="2" t="s">
        <v>52</v>
      </c>
      <c r="P198" s="2" t="s">
        <v>52</v>
      </c>
      <c r="Q198" t="e">
        <f t="shared" si="3"/>
        <v>#VALUE!</v>
      </c>
    </row>
    <row r="199" spans="1:17" x14ac:dyDescent="0.35">
      <c r="A199" t="s">
        <v>39</v>
      </c>
      <c r="B199" t="s">
        <v>2163</v>
      </c>
      <c r="C199" t="s">
        <v>41</v>
      </c>
      <c r="D199" t="s">
        <v>49</v>
      </c>
      <c r="E199" s="2" t="s">
        <v>52</v>
      </c>
      <c r="F199" s="2" t="s">
        <v>52</v>
      </c>
      <c r="G199" s="2" t="s">
        <v>52</v>
      </c>
      <c r="H199" s="2" t="s">
        <v>52</v>
      </c>
      <c r="I199" s="2" t="s">
        <v>52</v>
      </c>
      <c r="J199" s="2" t="s">
        <v>52</v>
      </c>
      <c r="K199" s="2">
        <v>0</v>
      </c>
      <c r="L199" s="2">
        <v>0</v>
      </c>
      <c r="M199" s="2" t="s">
        <v>52</v>
      </c>
      <c r="N199" s="2" t="s">
        <v>52</v>
      </c>
      <c r="O199" s="2" t="s">
        <v>52</v>
      </c>
      <c r="P199" s="2" t="s">
        <v>52</v>
      </c>
      <c r="Q199" t="e">
        <f t="shared" si="3"/>
        <v>#VALUE!</v>
      </c>
    </row>
    <row r="200" spans="1:17" x14ac:dyDescent="0.35">
      <c r="A200" t="s">
        <v>39</v>
      </c>
      <c r="B200" t="s">
        <v>2171</v>
      </c>
      <c r="C200" t="s">
        <v>41</v>
      </c>
      <c r="D200" t="s">
        <v>49</v>
      </c>
      <c r="E200" s="2" t="s">
        <v>52</v>
      </c>
      <c r="F200" s="2" t="s">
        <v>2173</v>
      </c>
      <c r="G200" s="2" t="s">
        <v>2173</v>
      </c>
      <c r="H200" s="2" t="s">
        <v>2174</v>
      </c>
      <c r="I200" s="2" t="s">
        <v>52</v>
      </c>
      <c r="J200" s="2" t="s">
        <v>2177</v>
      </c>
      <c r="K200" s="2">
        <v>8.4499999999999993</v>
      </c>
      <c r="L200" s="2">
        <v>3.64</v>
      </c>
      <c r="M200" s="2" t="s">
        <v>52</v>
      </c>
      <c r="N200" s="2" t="s">
        <v>2181</v>
      </c>
      <c r="O200" s="2" t="s">
        <v>2181</v>
      </c>
      <c r="P200" s="2" t="s">
        <v>2182</v>
      </c>
      <c r="Q200" t="e">
        <f t="shared" si="3"/>
        <v>#VALUE!</v>
      </c>
    </row>
    <row r="201" spans="1:17" x14ac:dyDescent="0.35">
      <c r="A201" t="s">
        <v>39</v>
      </c>
      <c r="B201" t="s">
        <v>2185</v>
      </c>
      <c r="C201" t="s">
        <v>41</v>
      </c>
      <c r="D201" t="s">
        <v>49</v>
      </c>
      <c r="E201" s="2" t="s">
        <v>52</v>
      </c>
      <c r="F201" s="2" t="s">
        <v>1852</v>
      </c>
      <c r="G201" s="2" t="s">
        <v>1852</v>
      </c>
      <c r="H201" s="2" t="s">
        <v>1852</v>
      </c>
      <c r="I201" s="2" t="s">
        <v>52</v>
      </c>
      <c r="J201" s="2" t="s">
        <v>2062</v>
      </c>
      <c r="K201" s="2">
        <v>10.64</v>
      </c>
      <c r="L201" s="2">
        <v>10.64</v>
      </c>
      <c r="M201" s="2" t="s">
        <v>52</v>
      </c>
      <c r="N201" s="2" t="s">
        <v>2189</v>
      </c>
      <c r="O201" s="2" t="s">
        <v>2189</v>
      </c>
      <c r="P201" s="2" t="s">
        <v>2189</v>
      </c>
      <c r="Q201" t="e">
        <f t="shared" si="3"/>
        <v>#VALUE!</v>
      </c>
    </row>
    <row r="202" spans="1:17" x14ac:dyDescent="0.35">
      <c r="A202" t="s">
        <v>39</v>
      </c>
      <c r="B202" t="s">
        <v>2192</v>
      </c>
      <c r="C202" t="s">
        <v>41</v>
      </c>
      <c r="D202" t="s">
        <v>49</v>
      </c>
      <c r="E202" s="2" t="s">
        <v>52</v>
      </c>
      <c r="F202" s="2" t="s">
        <v>2132</v>
      </c>
      <c r="G202" s="2" t="s">
        <v>2132</v>
      </c>
      <c r="H202" s="2" t="s">
        <v>1376</v>
      </c>
      <c r="I202" s="2" t="s">
        <v>52</v>
      </c>
      <c r="J202" s="2" t="s">
        <v>2196</v>
      </c>
      <c r="K202" s="2">
        <v>29.06</v>
      </c>
      <c r="L202" s="2">
        <v>2.97</v>
      </c>
      <c r="M202" s="2" t="s">
        <v>52</v>
      </c>
      <c r="N202" s="2" t="s">
        <v>2199</v>
      </c>
      <c r="O202" s="2" t="s">
        <v>2199</v>
      </c>
      <c r="P202" s="2" t="s">
        <v>617</v>
      </c>
      <c r="Q202" t="e">
        <f t="shared" si="3"/>
        <v>#VALUE!</v>
      </c>
    </row>
    <row r="203" spans="1:17" x14ac:dyDescent="0.35">
      <c r="A203" t="s">
        <v>39</v>
      </c>
      <c r="B203" t="s">
        <v>2202</v>
      </c>
      <c r="C203" t="s">
        <v>41</v>
      </c>
      <c r="D203" t="s">
        <v>49</v>
      </c>
      <c r="E203" s="2" t="s">
        <v>52</v>
      </c>
      <c r="F203" s="2" t="s">
        <v>2204</v>
      </c>
      <c r="G203" s="2" t="s">
        <v>52</v>
      </c>
      <c r="H203" s="2" t="s">
        <v>52</v>
      </c>
      <c r="I203" s="2" t="s">
        <v>52</v>
      </c>
      <c r="J203" s="2" t="s">
        <v>2205</v>
      </c>
      <c r="K203" s="2">
        <v>0</v>
      </c>
      <c r="L203" s="2">
        <v>0</v>
      </c>
      <c r="M203" s="2" t="s">
        <v>52</v>
      </c>
      <c r="N203" s="2" t="s">
        <v>2206</v>
      </c>
      <c r="O203" s="2" t="s">
        <v>52</v>
      </c>
      <c r="P203" s="2" t="s">
        <v>52</v>
      </c>
      <c r="Q203" t="e">
        <f t="shared" si="3"/>
        <v>#VALUE!</v>
      </c>
    </row>
    <row r="204" spans="1:17" x14ac:dyDescent="0.35">
      <c r="A204" t="s">
        <v>39</v>
      </c>
      <c r="B204" t="s">
        <v>2207</v>
      </c>
      <c r="C204" t="s">
        <v>41</v>
      </c>
      <c r="D204" t="s">
        <v>49</v>
      </c>
      <c r="E204" s="2" t="s">
        <v>52</v>
      </c>
      <c r="F204" s="2" t="s">
        <v>52</v>
      </c>
      <c r="G204" s="2" t="s">
        <v>52</v>
      </c>
      <c r="H204" s="2" t="s">
        <v>52</v>
      </c>
      <c r="I204" s="2" t="s">
        <v>52</v>
      </c>
      <c r="J204" s="2" t="s">
        <v>52</v>
      </c>
      <c r="K204" s="2">
        <v>0</v>
      </c>
      <c r="L204" s="2">
        <v>0</v>
      </c>
      <c r="M204" s="2" t="s">
        <v>52</v>
      </c>
      <c r="N204" s="2" t="s">
        <v>52</v>
      </c>
      <c r="O204" s="2" t="s">
        <v>52</v>
      </c>
      <c r="P204" s="2" t="s">
        <v>52</v>
      </c>
      <c r="Q204" t="e">
        <f t="shared" si="3"/>
        <v>#VALUE!</v>
      </c>
    </row>
    <row r="205" spans="1:17" x14ac:dyDescent="0.35">
      <c r="A205" t="s">
        <v>39</v>
      </c>
      <c r="B205" t="s">
        <v>2211</v>
      </c>
      <c r="C205" t="s">
        <v>41</v>
      </c>
      <c r="D205" t="s">
        <v>49</v>
      </c>
      <c r="E205" s="2" t="s">
        <v>52</v>
      </c>
      <c r="F205" s="2" t="s">
        <v>52</v>
      </c>
      <c r="G205" s="2" t="s">
        <v>2213</v>
      </c>
      <c r="H205" s="2" t="s">
        <v>52</v>
      </c>
      <c r="I205" s="2" t="s">
        <v>52</v>
      </c>
      <c r="J205" s="2" t="s">
        <v>52</v>
      </c>
      <c r="K205" s="2">
        <v>0.23</v>
      </c>
      <c r="L205" s="2">
        <v>0</v>
      </c>
      <c r="M205" s="2" t="s">
        <v>52</v>
      </c>
      <c r="N205" s="2" t="s">
        <v>52</v>
      </c>
      <c r="O205" s="2" t="s">
        <v>2216</v>
      </c>
      <c r="P205" s="2" t="s">
        <v>52</v>
      </c>
      <c r="Q205" t="e">
        <f t="shared" si="3"/>
        <v>#VALUE!</v>
      </c>
    </row>
    <row r="206" spans="1:17" x14ac:dyDescent="0.35">
      <c r="A206" t="s">
        <v>39</v>
      </c>
      <c r="B206" t="s">
        <v>2217</v>
      </c>
      <c r="C206" t="s">
        <v>41</v>
      </c>
      <c r="D206" t="s">
        <v>49</v>
      </c>
      <c r="E206" s="2" t="s">
        <v>52</v>
      </c>
      <c r="F206" s="2" t="s">
        <v>1080</v>
      </c>
      <c r="G206" s="2" t="s">
        <v>2221</v>
      </c>
      <c r="H206" s="2" t="s">
        <v>501</v>
      </c>
      <c r="I206" s="2" t="s">
        <v>52</v>
      </c>
      <c r="J206" s="2" t="s">
        <v>1687</v>
      </c>
      <c r="K206" s="2">
        <v>1.1399999999999999</v>
      </c>
      <c r="L206" s="2">
        <v>1.71</v>
      </c>
      <c r="M206" s="2" t="s">
        <v>52</v>
      </c>
      <c r="N206" s="2" t="s">
        <v>2223</v>
      </c>
      <c r="O206" s="2" t="s">
        <v>2224</v>
      </c>
      <c r="P206" s="2" t="s">
        <v>2225</v>
      </c>
      <c r="Q206" t="e">
        <f t="shared" si="3"/>
        <v>#VALUE!</v>
      </c>
    </row>
    <row r="207" spans="1:17" x14ac:dyDescent="0.35">
      <c r="A207" t="s">
        <v>39</v>
      </c>
      <c r="B207" t="s">
        <v>2226</v>
      </c>
      <c r="C207" t="s">
        <v>41</v>
      </c>
      <c r="D207" t="s">
        <v>49</v>
      </c>
      <c r="E207" s="2" t="s">
        <v>52</v>
      </c>
      <c r="F207" s="2" t="s">
        <v>1105</v>
      </c>
      <c r="G207" s="2" t="s">
        <v>1105</v>
      </c>
      <c r="H207" s="2" t="s">
        <v>1105</v>
      </c>
      <c r="I207" s="2" t="s">
        <v>52</v>
      </c>
      <c r="J207" s="2" t="s">
        <v>2231</v>
      </c>
      <c r="K207" s="2">
        <v>27.9</v>
      </c>
      <c r="L207" s="2">
        <v>27.9</v>
      </c>
      <c r="M207" s="2" t="s">
        <v>52</v>
      </c>
      <c r="N207" s="2" t="s">
        <v>2232</v>
      </c>
      <c r="O207" s="2" t="s">
        <v>2232</v>
      </c>
      <c r="P207" s="2" t="s">
        <v>2232</v>
      </c>
      <c r="Q207" t="e">
        <f t="shared" si="3"/>
        <v>#VALUE!</v>
      </c>
    </row>
  </sheetData>
  <pageMargins left="0.75" right="0.75" top="1" bottom="1" header="0.5" footer="0.5"/>
  <headerFooter>
    <oddHeader>&amp;C&amp;"Aptos"&amp;10&amp;K4A569E Internal&amp;1#_x000D_&amp;"Calibri"&amp;11&amp;K000000&amp;"Calibri"&amp;11&amp;K000000&amp;"Calibri"&amp;11&amp;K000000&amp;"Aptos"&amp;1 &amp;K4A569E Internal#_x000D_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207"/>
  <sheetViews>
    <sheetView workbookViewId="0"/>
  </sheetViews>
  <sheetFormatPr baseColWidth="10" defaultColWidth="8.7265625" defaultRowHeight="14.5" x14ac:dyDescent="0.35"/>
  <sheetData>
    <row r="1" spans="1:34" x14ac:dyDescent="0.35">
      <c r="A1" t="s">
        <v>0</v>
      </c>
      <c r="B1" t="s">
        <v>1</v>
      </c>
      <c r="C1" t="s">
        <v>3</v>
      </c>
      <c r="D1" t="s">
        <v>4</v>
      </c>
      <c r="E1" t="s">
        <v>2234</v>
      </c>
      <c r="F1" t="s">
        <v>2235</v>
      </c>
      <c r="G1" t="s">
        <v>2236</v>
      </c>
      <c r="H1" t="s">
        <v>2237</v>
      </c>
      <c r="I1" t="s">
        <v>2238</v>
      </c>
      <c r="J1" t="s">
        <v>2239</v>
      </c>
      <c r="K1" t="s">
        <v>2240</v>
      </c>
      <c r="L1" t="s">
        <v>2241</v>
      </c>
      <c r="M1" t="s">
        <v>2242</v>
      </c>
      <c r="N1" t="s">
        <v>2243</v>
      </c>
      <c r="O1" t="s">
        <v>2244</v>
      </c>
      <c r="P1" t="s">
        <v>2245</v>
      </c>
      <c r="Q1" t="s">
        <v>2246</v>
      </c>
      <c r="R1" t="s">
        <v>2233</v>
      </c>
      <c r="S1" t="s">
        <v>2247</v>
      </c>
      <c r="T1" t="s">
        <v>2248</v>
      </c>
      <c r="U1" t="s">
        <v>2249</v>
      </c>
      <c r="V1" t="s">
        <v>2250</v>
      </c>
      <c r="W1" t="s">
        <v>2251</v>
      </c>
      <c r="X1" t="s">
        <v>2252</v>
      </c>
      <c r="Y1" t="s">
        <v>2253</v>
      </c>
      <c r="Z1" t="s">
        <v>2254</v>
      </c>
      <c r="AA1" t="s">
        <v>2255</v>
      </c>
      <c r="AB1" t="s">
        <v>2256</v>
      </c>
      <c r="AC1" t="s">
        <v>2257</v>
      </c>
      <c r="AD1" t="s">
        <v>2258</v>
      </c>
      <c r="AE1" t="s">
        <v>2259</v>
      </c>
      <c r="AF1" t="s">
        <v>2260</v>
      </c>
      <c r="AG1" t="s">
        <v>2261</v>
      </c>
      <c r="AH1" t="s">
        <v>2262</v>
      </c>
    </row>
    <row r="2" spans="1:34" x14ac:dyDescent="0.35">
      <c r="A2" t="s">
        <v>39</v>
      </c>
      <c r="B2">
        <v>936342</v>
      </c>
      <c r="C2" t="s">
        <v>41</v>
      </c>
      <c r="D2" t="s">
        <v>42</v>
      </c>
      <c r="E2" t="s">
        <v>43</v>
      </c>
      <c r="F2">
        <v>1.28</v>
      </c>
      <c r="G2">
        <v>1.28</v>
      </c>
      <c r="H2">
        <v>1.28</v>
      </c>
      <c r="I2">
        <v>0</v>
      </c>
      <c r="J2">
        <v>98.66</v>
      </c>
      <c r="K2">
        <v>98.66</v>
      </c>
      <c r="L2">
        <v>98.66</v>
      </c>
      <c r="M2">
        <v>0</v>
      </c>
      <c r="N2">
        <v>3.53</v>
      </c>
      <c r="O2">
        <v>3.53</v>
      </c>
      <c r="P2">
        <v>3.53</v>
      </c>
      <c r="Q2">
        <v>0</v>
      </c>
      <c r="R2">
        <v>0</v>
      </c>
      <c r="S2">
        <v>0</v>
      </c>
      <c r="T2">
        <v>0</v>
      </c>
      <c r="U2">
        <v>77.078125</v>
      </c>
      <c r="V2">
        <v>77.078125</v>
      </c>
      <c r="W2">
        <v>77.078125</v>
      </c>
      <c r="X2">
        <v>77.078125</v>
      </c>
      <c r="Y2">
        <v>3.5779444557064673E-2</v>
      </c>
      <c r="Z2">
        <v>3.5779444557064673E-2</v>
      </c>
      <c r="AA2">
        <v>3.5779444557064673E-2</v>
      </c>
      <c r="AB2">
        <v>3.5779444557064673E-2</v>
      </c>
      <c r="AC2">
        <v>2.56</v>
      </c>
      <c r="AE2">
        <v>197.32</v>
      </c>
      <c r="AG2">
        <v>7.06</v>
      </c>
    </row>
    <row r="3" spans="1:34" x14ac:dyDescent="0.35">
      <c r="A3" t="s">
        <v>39</v>
      </c>
      <c r="B3">
        <v>915052</v>
      </c>
      <c r="C3" t="s">
        <v>41</v>
      </c>
      <c r="D3" t="s">
        <v>60</v>
      </c>
      <c r="E3" t="s">
        <v>61</v>
      </c>
      <c r="F3">
        <v>0</v>
      </c>
      <c r="G3">
        <v>0</v>
      </c>
      <c r="H3">
        <v>0</v>
      </c>
      <c r="I3">
        <v>0</v>
      </c>
      <c r="J3">
        <v>0</v>
      </c>
      <c r="K3">
        <v>4.59</v>
      </c>
      <c r="L3">
        <v>4.59</v>
      </c>
      <c r="M3">
        <v>0</v>
      </c>
      <c r="N3">
        <v>0</v>
      </c>
      <c r="O3">
        <v>0.16</v>
      </c>
      <c r="P3">
        <v>0.16</v>
      </c>
      <c r="Q3">
        <v>0</v>
      </c>
      <c r="Z3">
        <v>3.4858387799564267E-2</v>
      </c>
      <c r="AA3">
        <v>3.4858387799564267E-2</v>
      </c>
      <c r="AB3">
        <v>3.4858387799564267E-2</v>
      </c>
      <c r="AC3">
        <v>0</v>
      </c>
      <c r="AE3">
        <v>4.59</v>
      </c>
      <c r="AG3">
        <v>0.16</v>
      </c>
    </row>
    <row r="4" spans="1:34" x14ac:dyDescent="0.35">
      <c r="A4" t="s">
        <v>39</v>
      </c>
      <c r="B4">
        <v>626742</v>
      </c>
      <c r="C4" t="s">
        <v>72</v>
      </c>
      <c r="D4" t="s">
        <v>73</v>
      </c>
      <c r="E4" t="s">
        <v>74</v>
      </c>
      <c r="J4">
        <v>452.21</v>
      </c>
      <c r="K4">
        <v>480.07</v>
      </c>
      <c r="L4">
        <v>468.98</v>
      </c>
      <c r="M4">
        <v>495.11</v>
      </c>
      <c r="N4">
        <v>34.67</v>
      </c>
      <c r="O4">
        <v>36.81</v>
      </c>
      <c r="P4">
        <v>35.96</v>
      </c>
      <c r="Q4">
        <v>37.96</v>
      </c>
      <c r="S4">
        <v>6.16085447026824E-2</v>
      </c>
      <c r="T4">
        <v>6.1724834150562513E-2</v>
      </c>
      <c r="Y4">
        <v>7.6667919771787454E-2</v>
      </c>
      <c r="Z4">
        <v>7.6676318036952948E-2</v>
      </c>
      <c r="AA4">
        <v>7.6677043797176853E-2</v>
      </c>
      <c r="AB4">
        <v>7.6673760535305752E-2</v>
      </c>
      <c r="AE4">
        <v>932.28</v>
      </c>
      <c r="AF4">
        <v>0.88297550039385175</v>
      </c>
      <c r="AG4">
        <v>71.48</v>
      </c>
      <c r="AH4">
        <v>0.88303477344573245</v>
      </c>
    </row>
    <row r="5" spans="1:34" x14ac:dyDescent="0.35">
      <c r="A5" t="s">
        <v>39</v>
      </c>
      <c r="B5">
        <v>769647</v>
      </c>
      <c r="C5" t="s">
        <v>72</v>
      </c>
      <c r="D5" t="s">
        <v>107</v>
      </c>
      <c r="E5" t="s">
        <v>74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AC5">
        <v>0</v>
      </c>
      <c r="AE5">
        <v>0</v>
      </c>
      <c r="AG5">
        <v>0</v>
      </c>
    </row>
    <row r="6" spans="1:34" x14ac:dyDescent="0.35">
      <c r="A6" t="s">
        <v>39</v>
      </c>
      <c r="B6">
        <v>645275</v>
      </c>
      <c r="C6" t="s">
        <v>72</v>
      </c>
      <c r="D6" t="s">
        <v>115</v>
      </c>
      <c r="E6" t="s">
        <v>116</v>
      </c>
      <c r="J6">
        <v>243.97</v>
      </c>
      <c r="K6">
        <v>270.04000000000002</v>
      </c>
      <c r="L6">
        <v>249.14</v>
      </c>
      <c r="M6">
        <v>193.91</v>
      </c>
      <c r="N6">
        <v>9.36</v>
      </c>
      <c r="O6">
        <v>10.36</v>
      </c>
      <c r="P6">
        <v>9.56</v>
      </c>
      <c r="Q6">
        <v>7.44</v>
      </c>
      <c r="S6">
        <v>0.1068574005000615</v>
      </c>
      <c r="T6">
        <v>0.1068376068376069</v>
      </c>
      <c r="Y6">
        <v>3.8365372791736678E-2</v>
      </c>
      <c r="Z6">
        <v>3.8364686713079542E-2</v>
      </c>
      <c r="AA6">
        <v>3.8371999678895402E-2</v>
      </c>
      <c r="AB6">
        <v>3.836735306123721E-2</v>
      </c>
      <c r="AE6">
        <v>514.01</v>
      </c>
      <c r="AF6">
        <v>1.6507658191944721</v>
      </c>
      <c r="AG6">
        <v>19.72</v>
      </c>
      <c r="AH6">
        <v>1.650537634408602</v>
      </c>
    </row>
    <row r="7" spans="1:34" x14ac:dyDescent="0.35">
      <c r="A7" t="s">
        <v>39</v>
      </c>
      <c r="B7">
        <v>645276</v>
      </c>
      <c r="C7" t="s">
        <v>72</v>
      </c>
      <c r="D7" t="s">
        <v>138</v>
      </c>
      <c r="E7" t="s">
        <v>116</v>
      </c>
      <c r="J7">
        <v>463.13</v>
      </c>
      <c r="K7">
        <v>517.58000000000004</v>
      </c>
      <c r="L7">
        <v>466.92</v>
      </c>
      <c r="M7">
        <v>344.43</v>
      </c>
      <c r="N7">
        <v>19.21</v>
      </c>
      <c r="O7">
        <v>21.47</v>
      </c>
      <c r="P7">
        <v>19.37</v>
      </c>
      <c r="Q7">
        <v>14.29</v>
      </c>
      <c r="S7">
        <v>0.1175695808952131</v>
      </c>
      <c r="T7">
        <v>0.1176470588235292</v>
      </c>
      <c r="Y7">
        <v>4.1478634508669267E-2</v>
      </c>
      <c r="Z7">
        <v>4.1481510104718108E-2</v>
      </c>
      <c r="AA7">
        <v>4.1484622633427573E-2</v>
      </c>
      <c r="AB7">
        <v>4.1481589082271647E-2</v>
      </c>
      <c r="AE7">
        <v>980.71</v>
      </c>
      <c r="AF7">
        <v>1.847341985309062</v>
      </c>
      <c r="AG7">
        <v>40.68</v>
      </c>
      <c r="AH7">
        <v>1.8467459762071381</v>
      </c>
    </row>
    <row r="8" spans="1:34" x14ac:dyDescent="0.35">
      <c r="A8" t="s">
        <v>39</v>
      </c>
      <c r="B8">
        <v>729219</v>
      </c>
      <c r="C8" t="s">
        <v>72</v>
      </c>
      <c r="D8" t="s">
        <v>159</v>
      </c>
      <c r="E8" t="s">
        <v>160</v>
      </c>
      <c r="F8">
        <v>20</v>
      </c>
      <c r="G8">
        <v>0</v>
      </c>
      <c r="H8">
        <v>0</v>
      </c>
      <c r="I8">
        <v>80</v>
      </c>
      <c r="J8">
        <v>34.57</v>
      </c>
      <c r="K8">
        <v>0</v>
      </c>
      <c r="L8">
        <v>0</v>
      </c>
      <c r="M8">
        <v>138.26</v>
      </c>
      <c r="N8">
        <v>1.21</v>
      </c>
      <c r="O8">
        <v>0</v>
      </c>
      <c r="P8">
        <v>0</v>
      </c>
      <c r="Q8">
        <v>4.82</v>
      </c>
      <c r="R8">
        <v>-1</v>
      </c>
      <c r="S8">
        <v>-1</v>
      </c>
      <c r="T8">
        <v>-1</v>
      </c>
      <c r="U8">
        <v>1.7284999999999999</v>
      </c>
      <c r="X8">
        <v>1.7284999999999999</v>
      </c>
      <c r="Y8">
        <v>3.5001446340757879E-2</v>
      </c>
      <c r="AB8">
        <v>3.5001446340757879E-2</v>
      </c>
      <c r="AC8">
        <v>20</v>
      </c>
      <c r="AD8">
        <v>-0.75</v>
      </c>
      <c r="AE8">
        <v>34.57</v>
      </c>
      <c r="AF8">
        <v>-0.74996383625054241</v>
      </c>
      <c r="AG8">
        <v>1.21</v>
      </c>
      <c r="AH8">
        <v>-0.74896265560165975</v>
      </c>
    </row>
    <row r="9" spans="1:34" x14ac:dyDescent="0.35">
      <c r="A9" t="s">
        <v>39</v>
      </c>
      <c r="B9">
        <v>728957</v>
      </c>
      <c r="C9" t="s">
        <v>72</v>
      </c>
      <c r="D9" t="s">
        <v>177</v>
      </c>
      <c r="E9" t="s">
        <v>160</v>
      </c>
      <c r="F9">
        <v>10</v>
      </c>
      <c r="G9">
        <v>0</v>
      </c>
      <c r="H9">
        <v>0</v>
      </c>
      <c r="I9">
        <v>20</v>
      </c>
      <c r="J9">
        <v>11.64</v>
      </c>
      <c r="K9">
        <v>0</v>
      </c>
      <c r="L9">
        <v>0</v>
      </c>
      <c r="M9">
        <v>23.28</v>
      </c>
      <c r="N9">
        <v>0.41</v>
      </c>
      <c r="O9">
        <v>0</v>
      </c>
      <c r="P9">
        <v>0</v>
      </c>
      <c r="Q9">
        <v>0.81</v>
      </c>
      <c r="R9">
        <v>-1</v>
      </c>
      <c r="S9">
        <v>-1</v>
      </c>
      <c r="T9">
        <v>-1</v>
      </c>
      <c r="U9">
        <v>1.1639999999999999</v>
      </c>
      <c r="X9">
        <v>1.1639999999999999</v>
      </c>
      <c r="Y9">
        <v>3.5223367697594488E-2</v>
      </c>
      <c r="AB9">
        <v>3.5223367697594488E-2</v>
      </c>
      <c r="AC9">
        <v>10</v>
      </c>
      <c r="AD9">
        <v>-0.5</v>
      </c>
      <c r="AE9">
        <v>11.64</v>
      </c>
      <c r="AF9">
        <v>-0.5</v>
      </c>
      <c r="AG9">
        <v>0.41</v>
      </c>
      <c r="AH9">
        <v>-0.49382716049382719</v>
      </c>
    </row>
    <row r="10" spans="1:34" x14ac:dyDescent="0.35">
      <c r="A10" t="s">
        <v>39</v>
      </c>
      <c r="B10">
        <v>509021</v>
      </c>
      <c r="C10" t="s">
        <v>72</v>
      </c>
      <c r="D10" t="s">
        <v>186</v>
      </c>
      <c r="E10" t="s">
        <v>187</v>
      </c>
      <c r="F10">
        <v>850</v>
      </c>
      <c r="G10">
        <v>697.75</v>
      </c>
      <c r="H10">
        <v>797.75</v>
      </c>
      <c r="I10">
        <v>500</v>
      </c>
      <c r="J10">
        <v>92.94</v>
      </c>
      <c r="K10">
        <v>76.290000000000006</v>
      </c>
      <c r="L10">
        <v>87.23</v>
      </c>
      <c r="M10">
        <v>54.67</v>
      </c>
      <c r="N10">
        <v>3.27</v>
      </c>
      <c r="O10">
        <v>2.69</v>
      </c>
      <c r="P10">
        <v>3.07</v>
      </c>
      <c r="Q10">
        <v>1.93</v>
      </c>
      <c r="R10">
        <v>-0.17911764705882349</v>
      </c>
      <c r="S10">
        <v>-0.17914783731439629</v>
      </c>
      <c r="T10">
        <v>-0.1773700305810397</v>
      </c>
      <c r="U10">
        <v>0.10934117647058821</v>
      </c>
      <c r="V10">
        <v>0.1093371551415263</v>
      </c>
      <c r="W10">
        <v>0.10934503290504551</v>
      </c>
      <c r="X10">
        <v>0.10934112150571999</v>
      </c>
      <c r="Y10">
        <v>3.5183989670755332E-2</v>
      </c>
      <c r="Z10">
        <v>3.5260191375016382E-2</v>
      </c>
      <c r="AA10">
        <v>3.5194313882838467E-2</v>
      </c>
      <c r="AB10">
        <v>3.5212831642870063E-2</v>
      </c>
      <c r="AC10">
        <v>1547.75</v>
      </c>
      <c r="AD10">
        <v>2.0954999999999999</v>
      </c>
      <c r="AE10">
        <v>169.23</v>
      </c>
      <c r="AF10">
        <v>2.0954819828059268</v>
      </c>
      <c r="AG10">
        <v>5.96</v>
      </c>
      <c r="AH10">
        <v>2.088082901554404</v>
      </c>
    </row>
    <row r="11" spans="1:34" x14ac:dyDescent="0.35">
      <c r="A11" t="s">
        <v>39</v>
      </c>
      <c r="B11">
        <v>746949</v>
      </c>
      <c r="C11" t="s">
        <v>72</v>
      </c>
      <c r="D11" t="s">
        <v>214</v>
      </c>
      <c r="E11" t="s">
        <v>215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AC11">
        <v>0</v>
      </c>
      <c r="AE11">
        <v>0</v>
      </c>
      <c r="AG11">
        <v>0</v>
      </c>
    </row>
    <row r="12" spans="1:34" x14ac:dyDescent="0.35">
      <c r="A12" t="s">
        <v>39</v>
      </c>
      <c r="B12">
        <v>650851</v>
      </c>
      <c r="C12" t="s">
        <v>72</v>
      </c>
      <c r="D12" t="s">
        <v>220</v>
      </c>
      <c r="E12" t="s">
        <v>221</v>
      </c>
      <c r="F12">
        <v>100</v>
      </c>
      <c r="G12">
        <v>95.31</v>
      </c>
      <c r="H12">
        <v>95.31</v>
      </c>
      <c r="I12">
        <v>200</v>
      </c>
      <c r="J12">
        <v>8.48</v>
      </c>
      <c r="K12">
        <v>8.08</v>
      </c>
      <c r="L12">
        <v>8.08</v>
      </c>
      <c r="M12">
        <v>16.96</v>
      </c>
      <c r="N12">
        <v>0.3</v>
      </c>
      <c r="O12">
        <v>0.28000000000000003</v>
      </c>
      <c r="P12">
        <v>0.28000000000000003</v>
      </c>
      <c r="Q12">
        <v>0.59</v>
      </c>
      <c r="R12">
        <v>-4.6899999999999942E-2</v>
      </c>
      <c r="S12">
        <v>-4.7169811320754713E-2</v>
      </c>
      <c r="T12">
        <v>-6.6666666666666541E-2</v>
      </c>
      <c r="U12">
        <v>8.48E-2</v>
      </c>
      <c r="V12">
        <v>8.4775994124436052E-2</v>
      </c>
      <c r="W12">
        <v>8.4775994124436052E-2</v>
      </c>
      <c r="X12">
        <v>8.4783996082957377E-2</v>
      </c>
      <c r="Y12">
        <v>3.5377358490566037E-2</v>
      </c>
      <c r="Z12">
        <v>3.4653465346534663E-2</v>
      </c>
      <c r="AA12">
        <v>3.4653465346534663E-2</v>
      </c>
      <c r="AB12">
        <v>3.4894763061211781E-2</v>
      </c>
      <c r="AC12">
        <v>195.31</v>
      </c>
      <c r="AD12">
        <v>-2.3449999999999971E-2</v>
      </c>
      <c r="AE12">
        <v>16.559999999999999</v>
      </c>
      <c r="AF12">
        <v>-2.3584905660377301E-2</v>
      </c>
      <c r="AG12">
        <v>0.58000000000000007</v>
      </c>
      <c r="AH12">
        <v>-1.6949152542372729E-2</v>
      </c>
    </row>
    <row r="13" spans="1:34" x14ac:dyDescent="0.35">
      <c r="A13" t="s">
        <v>39</v>
      </c>
      <c r="B13">
        <v>555832</v>
      </c>
      <c r="C13" t="s">
        <v>72</v>
      </c>
      <c r="D13" t="s">
        <v>233</v>
      </c>
      <c r="E13" t="s">
        <v>221</v>
      </c>
      <c r="F13">
        <v>100</v>
      </c>
      <c r="G13">
        <v>0</v>
      </c>
      <c r="H13">
        <v>94.4</v>
      </c>
      <c r="I13">
        <v>200</v>
      </c>
      <c r="J13">
        <v>7.68</v>
      </c>
      <c r="K13">
        <v>0</v>
      </c>
      <c r="L13">
        <v>7.25</v>
      </c>
      <c r="M13">
        <v>15.37</v>
      </c>
      <c r="N13">
        <v>0.27</v>
      </c>
      <c r="O13">
        <v>0</v>
      </c>
      <c r="P13">
        <v>0.25</v>
      </c>
      <c r="Q13">
        <v>0.54</v>
      </c>
      <c r="R13">
        <v>-1</v>
      </c>
      <c r="S13">
        <v>-1</v>
      </c>
      <c r="T13">
        <v>-1</v>
      </c>
      <c r="U13">
        <v>7.6799999999999993E-2</v>
      </c>
      <c r="W13">
        <v>7.6800847457627108E-2</v>
      </c>
      <c r="X13">
        <v>7.6800423728813544E-2</v>
      </c>
      <c r="Y13">
        <v>3.5156250000000007E-2</v>
      </c>
      <c r="AA13">
        <v>3.4482758620689648E-2</v>
      </c>
      <c r="AB13">
        <v>3.4819504310344827E-2</v>
      </c>
      <c r="AC13">
        <v>100</v>
      </c>
      <c r="AD13">
        <v>-0.5</v>
      </c>
      <c r="AE13">
        <v>7.68</v>
      </c>
      <c r="AF13">
        <v>-0.5003253090435914</v>
      </c>
      <c r="AG13">
        <v>0.27</v>
      </c>
      <c r="AH13">
        <v>-0.5</v>
      </c>
    </row>
    <row r="14" spans="1:34" x14ac:dyDescent="0.35">
      <c r="A14" t="s">
        <v>39</v>
      </c>
      <c r="B14">
        <v>769833</v>
      </c>
      <c r="C14" t="s">
        <v>72</v>
      </c>
      <c r="D14" t="s">
        <v>244</v>
      </c>
      <c r="E14" t="s">
        <v>245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AC14">
        <v>0</v>
      </c>
      <c r="AE14">
        <v>0</v>
      </c>
      <c r="AG14">
        <v>0</v>
      </c>
    </row>
    <row r="15" spans="1:34" x14ac:dyDescent="0.35">
      <c r="A15" t="s">
        <v>39</v>
      </c>
      <c r="B15">
        <v>769657</v>
      </c>
      <c r="C15" t="s">
        <v>72</v>
      </c>
      <c r="D15" t="s">
        <v>250</v>
      </c>
      <c r="E15" t="s">
        <v>74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AC15">
        <v>0</v>
      </c>
      <c r="AE15">
        <v>0</v>
      </c>
      <c r="AG15">
        <v>0</v>
      </c>
    </row>
    <row r="16" spans="1:34" x14ac:dyDescent="0.35">
      <c r="A16" t="s">
        <v>39</v>
      </c>
      <c r="B16">
        <v>769665</v>
      </c>
      <c r="C16" t="s">
        <v>72</v>
      </c>
      <c r="D16" t="s">
        <v>255</v>
      </c>
      <c r="E16" t="s">
        <v>256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AC16">
        <v>0</v>
      </c>
      <c r="AE16">
        <v>0</v>
      </c>
      <c r="AG16">
        <v>0</v>
      </c>
    </row>
    <row r="17" spans="1:34" x14ac:dyDescent="0.35">
      <c r="A17" t="s">
        <v>39</v>
      </c>
      <c r="B17">
        <v>956758</v>
      </c>
      <c r="C17" t="s">
        <v>41</v>
      </c>
      <c r="D17" t="s">
        <v>261</v>
      </c>
      <c r="E17" t="s">
        <v>262</v>
      </c>
      <c r="F17">
        <v>0</v>
      </c>
      <c r="G17">
        <v>1.65</v>
      </c>
      <c r="H17">
        <v>1.65</v>
      </c>
      <c r="I17">
        <v>0</v>
      </c>
      <c r="J17">
        <v>0</v>
      </c>
      <c r="K17">
        <v>247.5</v>
      </c>
      <c r="L17">
        <v>247.5</v>
      </c>
      <c r="M17">
        <v>0</v>
      </c>
      <c r="N17">
        <v>0</v>
      </c>
      <c r="O17">
        <v>8.86</v>
      </c>
      <c r="P17">
        <v>8.86</v>
      </c>
      <c r="Q17">
        <v>0</v>
      </c>
      <c r="V17">
        <v>150</v>
      </c>
      <c r="W17">
        <v>150</v>
      </c>
      <c r="X17">
        <v>150</v>
      </c>
      <c r="Z17">
        <v>3.5797979797979787E-2</v>
      </c>
      <c r="AA17">
        <v>3.5797979797979787E-2</v>
      </c>
      <c r="AB17">
        <v>3.5797979797979787E-2</v>
      </c>
      <c r="AC17">
        <v>1.65</v>
      </c>
      <c r="AE17">
        <v>247.5</v>
      </c>
      <c r="AG17">
        <v>8.86</v>
      </c>
    </row>
    <row r="18" spans="1:34" x14ac:dyDescent="0.35">
      <c r="A18" t="s">
        <v>39</v>
      </c>
      <c r="B18">
        <v>769832</v>
      </c>
      <c r="C18" t="s">
        <v>72</v>
      </c>
      <c r="D18" t="s">
        <v>269</v>
      </c>
      <c r="E18" t="s">
        <v>215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AC18">
        <v>0</v>
      </c>
      <c r="AE18">
        <v>0</v>
      </c>
      <c r="AG18">
        <v>0</v>
      </c>
    </row>
    <row r="19" spans="1:34" x14ac:dyDescent="0.35">
      <c r="A19" t="s">
        <v>39</v>
      </c>
      <c r="B19">
        <v>769704</v>
      </c>
      <c r="C19" t="s">
        <v>72</v>
      </c>
      <c r="D19" t="s">
        <v>274</v>
      </c>
      <c r="E19" t="s">
        <v>74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AC19">
        <v>0</v>
      </c>
      <c r="AE19">
        <v>0</v>
      </c>
      <c r="AG19">
        <v>0</v>
      </c>
    </row>
    <row r="20" spans="1:34" x14ac:dyDescent="0.35">
      <c r="A20" t="s">
        <v>39</v>
      </c>
      <c r="B20">
        <v>933327</v>
      </c>
      <c r="C20" t="s">
        <v>72</v>
      </c>
      <c r="D20" t="s">
        <v>280</v>
      </c>
      <c r="E20" t="s">
        <v>281</v>
      </c>
      <c r="K20">
        <v>702.08</v>
      </c>
      <c r="L20">
        <v>702.08</v>
      </c>
      <c r="M20">
        <v>679.86</v>
      </c>
      <c r="N20">
        <v>43.57</v>
      </c>
      <c r="O20">
        <v>25.15</v>
      </c>
      <c r="P20">
        <v>25.15</v>
      </c>
      <c r="Q20">
        <v>24.36</v>
      </c>
      <c r="T20">
        <v>-0.42276795960523289</v>
      </c>
      <c r="Z20">
        <v>3.5822128532360983E-2</v>
      </c>
      <c r="AA20">
        <v>3.5822128532360983E-2</v>
      </c>
      <c r="AB20">
        <v>3.5822128532360983E-2</v>
      </c>
      <c r="AG20">
        <v>68.72</v>
      </c>
      <c r="AH20">
        <v>1.8210180623973731</v>
      </c>
    </row>
    <row r="21" spans="1:34" x14ac:dyDescent="0.35">
      <c r="A21" t="s">
        <v>39</v>
      </c>
      <c r="B21">
        <v>533316</v>
      </c>
      <c r="C21" t="s">
        <v>72</v>
      </c>
      <c r="D21" t="s">
        <v>306</v>
      </c>
      <c r="E21" t="s">
        <v>281</v>
      </c>
      <c r="F21">
        <v>93.33</v>
      </c>
      <c r="G21">
        <v>91.4</v>
      </c>
      <c r="H21">
        <v>91.4</v>
      </c>
      <c r="I21">
        <v>93.33</v>
      </c>
      <c r="J21">
        <v>25.38</v>
      </c>
      <c r="K21">
        <v>24.86</v>
      </c>
      <c r="L21">
        <v>24.86</v>
      </c>
      <c r="M21">
        <v>25.38</v>
      </c>
      <c r="N21">
        <v>0.91</v>
      </c>
      <c r="O21">
        <v>0.89</v>
      </c>
      <c r="P21">
        <v>0.89</v>
      </c>
      <c r="Q21">
        <v>0.91</v>
      </c>
      <c r="R21">
        <v>-2.067930997535616E-2</v>
      </c>
      <c r="S21">
        <v>-2.0488573680063071E-2</v>
      </c>
      <c r="T21">
        <v>-2.1978021978022011E-2</v>
      </c>
      <c r="U21">
        <v>0.27193828351012528</v>
      </c>
      <c r="V21">
        <v>0.2719912472647702</v>
      </c>
      <c r="W21">
        <v>0.2719912472647702</v>
      </c>
      <c r="X21">
        <v>0.27197359267988858</v>
      </c>
      <c r="Y21">
        <v>3.5855003940110333E-2</v>
      </c>
      <c r="Z21">
        <v>3.5800482703137571E-2</v>
      </c>
      <c r="AA21">
        <v>3.5800482703137571E-2</v>
      </c>
      <c r="AB21">
        <v>3.5818656448795151E-2</v>
      </c>
      <c r="AC21">
        <v>184.73</v>
      </c>
      <c r="AD21">
        <v>0.97932069002464406</v>
      </c>
      <c r="AE21">
        <v>50.239999999999988</v>
      </c>
      <c r="AF21">
        <v>0.97951142631993693</v>
      </c>
      <c r="AG21">
        <v>1.8</v>
      </c>
      <c r="AH21">
        <v>0.9780219780219781</v>
      </c>
    </row>
    <row r="22" spans="1:34" x14ac:dyDescent="0.35">
      <c r="A22" t="s">
        <v>39</v>
      </c>
      <c r="B22">
        <v>533319</v>
      </c>
      <c r="C22" t="s">
        <v>72</v>
      </c>
      <c r="D22" t="s">
        <v>316</v>
      </c>
      <c r="E22" t="s">
        <v>281</v>
      </c>
      <c r="F22">
        <v>115.89</v>
      </c>
      <c r="G22">
        <v>115</v>
      </c>
      <c r="H22">
        <v>115</v>
      </c>
      <c r="I22">
        <v>140</v>
      </c>
      <c r="J22">
        <v>56.2</v>
      </c>
      <c r="K22">
        <v>55.76</v>
      </c>
      <c r="L22">
        <v>55.76</v>
      </c>
      <c r="M22">
        <v>67.89</v>
      </c>
      <c r="N22">
        <v>2.0099999999999998</v>
      </c>
      <c r="O22">
        <v>2</v>
      </c>
      <c r="P22">
        <v>2</v>
      </c>
      <c r="Q22">
        <v>2.4300000000000002</v>
      </c>
      <c r="R22">
        <v>-7.6796962636983554E-3</v>
      </c>
      <c r="S22">
        <v>-7.8291814946620519E-3</v>
      </c>
      <c r="T22">
        <v>-4.9751243781093191E-3</v>
      </c>
      <c r="U22">
        <v>0.48494261799982752</v>
      </c>
      <c r="V22">
        <v>0.48486956521739127</v>
      </c>
      <c r="W22">
        <v>0.48486956521739127</v>
      </c>
      <c r="X22">
        <v>0.48489391614486999</v>
      </c>
      <c r="Y22">
        <v>3.5765124555160142E-2</v>
      </c>
      <c r="Z22">
        <v>3.5868005738880923E-2</v>
      </c>
      <c r="AA22">
        <v>3.5868005738880923E-2</v>
      </c>
      <c r="AB22">
        <v>3.5833712010973989E-2</v>
      </c>
      <c r="AC22">
        <v>230.89</v>
      </c>
      <c r="AD22">
        <v>0.64921428571428552</v>
      </c>
      <c r="AE22">
        <v>111.96</v>
      </c>
      <c r="AF22">
        <v>0.64913831197525429</v>
      </c>
      <c r="AG22">
        <v>4.01</v>
      </c>
      <c r="AH22">
        <v>0.65020576131687213</v>
      </c>
    </row>
    <row r="23" spans="1:34" x14ac:dyDescent="0.35">
      <c r="A23" t="s">
        <v>39</v>
      </c>
      <c r="B23">
        <v>718307</v>
      </c>
      <c r="C23" t="s">
        <v>72</v>
      </c>
      <c r="D23" t="s">
        <v>332</v>
      </c>
      <c r="E23" t="s">
        <v>281</v>
      </c>
      <c r="F23">
        <v>30</v>
      </c>
      <c r="G23">
        <v>30</v>
      </c>
      <c r="H23">
        <v>30</v>
      </c>
      <c r="I23">
        <v>60</v>
      </c>
      <c r="J23">
        <v>10.62</v>
      </c>
      <c r="K23">
        <v>10.62</v>
      </c>
      <c r="L23">
        <v>10.62</v>
      </c>
      <c r="M23">
        <v>21.24</v>
      </c>
      <c r="N23">
        <v>0.38</v>
      </c>
      <c r="O23">
        <v>0.38</v>
      </c>
      <c r="P23">
        <v>0.38</v>
      </c>
      <c r="Q23">
        <v>0.76</v>
      </c>
      <c r="R23">
        <v>0</v>
      </c>
      <c r="S23">
        <v>0</v>
      </c>
      <c r="T23">
        <v>0</v>
      </c>
      <c r="U23">
        <v>0.35399999999999998</v>
      </c>
      <c r="V23">
        <v>0.35399999999999998</v>
      </c>
      <c r="W23">
        <v>0.35399999999999998</v>
      </c>
      <c r="X23">
        <v>0.35399999999999993</v>
      </c>
      <c r="Y23">
        <v>3.5781544256120533E-2</v>
      </c>
      <c r="Z23">
        <v>3.5781544256120533E-2</v>
      </c>
      <c r="AA23">
        <v>3.5781544256120533E-2</v>
      </c>
      <c r="AB23">
        <v>3.5781544256120533E-2</v>
      </c>
      <c r="AC23">
        <v>60</v>
      </c>
      <c r="AD23">
        <v>0</v>
      </c>
      <c r="AE23">
        <v>21.24</v>
      </c>
      <c r="AF23">
        <v>0</v>
      </c>
      <c r="AG23">
        <v>0.76</v>
      </c>
      <c r="AH23">
        <v>0</v>
      </c>
    </row>
    <row r="24" spans="1:34" x14ac:dyDescent="0.35">
      <c r="A24" t="s">
        <v>39</v>
      </c>
      <c r="B24">
        <v>718331</v>
      </c>
      <c r="C24" t="s">
        <v>72</v>
      </c>
      <c r="D24" t="s">
        <v>342</v>
      </c>
      <c r="E24" t="s">
        <v>281</v>
      </c>
      <c r="F24">
        <v>98.72</v>
      </c>
      <c r="G24">
        <v>98.16</v>
      </c>
      <c r="H24">
        <v>98.16</v>
      </c>
      <c r="I24">
        <v>120</v>
      </c>
      <c r="J24">
        <v>51.04</v>
      </c>
      <c r="K24">
        <v>50.75</v>
      </c>
      <c r="L24">
        <v>50.75</v>
      </c>
      <c r="M24">
        <v>62.04</v>
      </c>
      <c r="N24">
        <v>1.83</v>
      </c>
      <c r="O24">
        <v>1.82</v>
      </c>
      <c r="P24">
        <v>1.82</v>
      </c>
      <c r="Q24">
        <v>2.2200000000000002</v>
      </c>
      <c r="R24">
        <v>-5.6726094003242133E-3</v>
      </c>
      <c r="S24">
        <v>-5.6818181818181213E-3</v>
      </c>
      <c r="T24">
        <v>-5.464480874316946E-3</v>
      </c>
      <c r="U24">
        <v>0.51701782820097242</v>
      </c>
      <c r="V24">
        <v>0.5170130399348003</v>
      </c>
      <c r="W24">
        <v>0.5170130399348003</v>
      </c>
      <c r="X24">
        <v>0.51701463602352427</v>
      </c>
      <c r="Y24">
        <v>3.585423197492163E-2</v>
      </c>
      <c r="Z24">
        <v>3.5862068965517239E-2</v>
      </c>
      <c r="AA24">
        <v>3.5862068965517239E-2</v>
      </c>
      <c r="AB24">
        <v>3.5859456635318712E-2</v>
      </c>
      <c r="AC24">
        <v>196.88</v>
      </c>
      <c r="AD24">
        <v>0.64066666666666672</v>
      </c>
      <c r="AE24">
        <v>101.79</v>
      </c>
      <c r="AF24">
        <v>0.64071566731141183</v>
      </c>
      <c r="AG24">
        <v>3.65</v>
      </c>
      <c r="AH24">
        <v>0.64414414414414423</v>
      </c>
    </row>
    <row r="25" spans="1:34" x14ac:dyDescent="0.35">
      <c r="A25" t="s">
        <v>39</v>
      </c>
      <c r="B25">
        <v>475652</v>
      </c>
      <c r="C25" t="s">
        <v>72</v>
      </c>
      <c r="D25" t="s">
        <v>357</v>
      </c>
      <c r="E25" t="s">
        <v>358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AC25">
        <v>0</v>
      </c>
      <c r="AE25">
        <v>0</v>
      </c>
      <c r="AG25">
        <v>0</v>
      </c>
    </row>
    <row r="26" spans="1:34" x14ac:dyDescent="0.35">
      <c r="A26" t="s">
        <v>39</v>
      </c>
      <c r="B26">
        <v>475862</v>
      </c>
      <c r="C26" t="s">
        <v>72</v>
      </c>
      <c r="D26" t="s">
        <v>363</v>
      </c>
      <c r="E26" t="s">
        <v>358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AC26">
        <v>0</v>
      </c>
      <c r="AE26">
        <v>0</v>
      </c>
      <c r="AG26">
        <v>0</v>
      </c>
    </row>
    <row r="27" spans="1:34" x14ac:dyDescent="0.35">
      <c r="A27" t="s">
        <v>39</v>
      </c>
      <c r="B27">
        <v>476517</v>
      </c>
      <c r="C27" t="s">
        <v>72</v>
      </c>
      <c r="D27" t="s">
        <v>366</v>
      </c>
      <c r="E27" t="s">
        <v>358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AC27">
        <v>0</v>
      </c>
      <c r="AE27">
        <v>0</v>
      </c>
      <c r="AG27">
        <v>0</v>
      </c>
    </row>
    <row r="28" spans="1:34" x14ac:dyDescent="0.35">
      <c r="A28" t="s">
        <v>39</v>
      </c>
      <c r="B28">
        <v>476515</v>
      </c>
      <c r="C28" t="s">
        <v>72</v>
      </c>
      <c r="D28" t="s">
        <v>369</v>
      </c>
      <c r="E28" t="s">
        <v>358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AC28">
        <v>0</v>
      </c>
      <c r="AE28">
        <v>0</v>
      </c>
      <c r="AG28">
        <v>0</v>
      </c>
    </row>
    <row r="29" spans="1:34" x14ac:dyDescent="0.35">
      <c r="A29" t="s">
        <v>39</v>
      </c>
      <c r="B29">
        <v>475982</v>
      </c>
      <c r="C29" t="s">
        <v>72</v>
      </c>
      <c r="D29" t="s">
        <v>371</v>
      </c>
      <c r="E29" t="s">
        <v>372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AC29">
        <v>0</v>
      </c>
      <c r="AE29">
        <v>0</v>
      </c>
      <c r="AG29">
        <v>0</v>
      </c>
    </row>
    <row r="30" spans="1:34" x14ac:dyDescent="0.35">
      <c r="A30" t="s">
        <v>39</v>
      </c>
      <c r="B30">
        <v>475871</v>
      </c>
      <c r="C30" t="s">
        <v>72</v>
      </c>
      <c r="D30" t="s">
        <v>376</v>
      </c>
      <c r="E30" t="s">
        <v>372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AC30">
        <v>0</v>
      </c>
      <c r="AE30">
        <v>0</v>
      </c>
      <c r="AG30">
        <v>0</v>
      </c>
    </row>
    <row r="31" spans="1:34" x14ac:dyDescent="0.35">
      <c r="A31" t="s">
        <v>39</v>
      </c>
      <c r="B31">
        <v>475875</v>
      </c>
      <c r="C31" t="s">
        <v>72</v>
      </c>
      <c r="D31" t="s">
        <v>379</v>
      </c>
      <c r="E31" t="s">
        <v>372</v>
      </c>
      <c r="F31">
        <v>47.94</v>
      </c>
      <c r="G31">
        <v>45.26</v>
      </c>
      <c r="H31">
        <v>41.66</v>
      </c>
      <c r="I31">
        <v>43.2</v>
      </c>
      <c r="J31">
        <v>704.99</v>
      </c>
      <c r="K31">
        <v>665.67</v>
      </c>
      <c r="L31">
        <v>612.72</v>
      </c>
      <c r="M31">
        <v>635.33000000000004</v>
      </c>
      <c r="N31">
        <v>16.940000000000001</v>
      </c>
      <c r="O31">
        <v>15.99</v>
      </c>
      <c r="P31">
        <v>14.72</v>
      </c>
      <c r="Q31">
        <v>15.26</v>
      </c>
      <c r="R31">
        <v>-5.5903212348769271E-2</v>
      </c>
      <c r="S31">
        <v>-5.5773840763698852E-2</v>
      </c>
      <c r="T31">
        <v>-5.6080283353010629E-2</v>
      </c>
      <c r="U31">
        <v>14.705673758865251</v>
      </c>
      <c r="V31">
        <v>14.7076889085285</v>
      </c>
      <c r="W31">
        <v>14.70763322131541</v>
      </c>
      <c r="X31">
        <v>14.706998629569719</v>
      </c>
      <c r="Y31">
        <v>2.4028709627086909E-2</v>
      </c>
      <c r="Z31">
        <v>2.40209112623372E-2</v>
      </c>
      <c r="AA31">
        <v>2.402402402402402E-2</v>
      </c>
      <c r="AB31">
        <v>2.402454830448271E-2</v>
      </c>
      <c r="AC31">
        <v>93.199999999999989</v>
      </c>
      <c r="AD31">
        <v>1.157407407407407</v>
      </c>
      <c r="AE31">
        <v>1370.66</v>
      </c>
      <c r="AF31">
        <v>1.1573985173059671</v>
      </c>
      <c r="AG31">
        <v>32.93</v>
      </c>
      <c r="AH31">
        <v>1.157929226736566</v>
      </c>
    </row>
    <row r="32" spans="1:34" x14ac:dyDescent="0.35">
      <c r="A32" t="s">
        <v>39</v>
      </c>
      <c r="B32">
        <v>475280</v>
      </c>
      <c r="C32" t="s">
        <v>72</v>
      </c>
      <c r="D32" t="s">
        <v>396</v>
      </c>
      <c r="E32" t="s">
        <v>397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AC32">
        <v>0</v>
      </c>
      <c r="AE32">
        <v>0</v>
      </c>
      <c r="AG32">
        <v>0</v>
      </c>
    </row>
    <row r="33" spans="1:34" x14ac:dyDescent="0.35">
      <c r="A33" t="s">
        <v>39</v>
      </c>
      <c r="B33">
        <v>475987</v>
      </c>
      <c r="C33" t="s">
        <v>72</v>
      </c>
      <c r="D33" t="s">
        <v>399</v>
      </c>
      <c r="E33" t="s">
        <v>397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AC33">
        <v>0</v>
      </c>
      <c r="AE33">
        <v>0</v>
      </c>
      <c r="AG33">
        <v>0</v>
      </c>
    </row>
    <row r="34" spans="1:34" x14ac:dyDescent="0.35">
      <c r="A34" t="s">
        <v>39</v>
      </c>
      <c r="B34">
        <v>475281</v>
      </c>
      <c r="C34" t="s">
        <v>72</v>
      </c>
      <c r="D34" t="s">
        <v>401</v>
      </c>
      <c r="E34" t="s">
        <v>397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AC34">
        <v>0</v>
      </c>
      <c r="AE34">
        <v>0</v>
      </c>
      <c r="AG34">
        <v>0</v>
      </c>
    </row>
    <row r="35" spans="1:34" x14ac:dyDescent="0.35">
      <c r="A35" t="s">
        <v>39</v>
      </c>
      <c r="B35">
        <v>475988</v>
      </c>
      <c r="C35" t="s">
        <v>72</v>
      </c>
      <c r="D35" t="s">
        <v>403</v>
      </c>
      <c r="E35" t="s">
        <v>397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AC35">
        <v>0</v>
      </c>
      <c r="AE35">
        <v>0</v>
      </c>
      <c r="AG35">
        <v>0</v>
      </c>
    </row>
    <row r="36" spans="1:34" x14ac:dyDescent="0.35">
      <c r="A36" t="s">
        <v>39</v>
      </c>
      <c r="B36">
        <v>476043</v>
      </c>
      <c r="C36" t="s">
        <v>72</v>
      </c>
      <c r="D36" t="s">
        <v>405</v>
      </c>
      <c r="E36" t="s">
        <v>372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AC36">
        <v>0</v>
      </c>
      <c r="AE36">
        <v>0</v>
      </c>
      <c r="AG36">
        <v>0</v>
      </c>
    </row>
    <row r="37" spans="1:34" x14ac:dyDescent="0.35">
      <c r="A37" t="s">
        <v>39</v>
      </c>
      <c r="B37">
        <v>476956</v>
      </c>
      <c r="C37" t="s">
        <v>72</v>
      </c>
      <c r="D37" t="s">
        <v>407</v>
      </c>
      <c r="E37" t="s">
        <v>372</v>
      </c>
      <c r="F37">
        <v>800</v>
      </c>
      <c r="G37">
        <v>919.65</v>
      </c>
      <c r="H37">
        <v>919.65</v>
      </c>
      <c r="I37">
        <v>937.5</v>
      </c>
      <c r="N37">
        <v>32</v>
      </c>
      <c r="O37">
        <v>36.79</v>
      </c>
      <c r="P37">
        <v>36.79</v>
      </c>
      <c r="Q37">
        <v>37.5</v>
      </c>
      <c r="R37">
        <v>0.14956249999999999</v>
      </c>
      <c r="T37">
        <v>0.1496875</v>
      </c>
      <c r="AC37">
        <v>1719.65</v>
      </c>
      <c r="AD37">
        <v>0.83429333333333333</v>
      </c>
      <c r="AG37">
        <v>68.789999999999992</v>
      </c>
      <c r="AH37">
        <v>0.83439999999999981</v>
      </c>
    </row>
    <row r="38" spans="1:34" x14ac:dyDescent="0.35">
      <c r="A38" t="s">
        <v>39</v>
      </c>
      <c r="B38">
        <v>476963</v>
      </c>
      <c r="C38" t="s">
        <v>72</v>
      </c>
      <c r="D38" t="s">
        <v>426</v>
      </c>
      <c r="E38" t="s">
        <v>372</v>
      </c>
      <c r="F38">
        <v>328.36</v>
      </c>
      <c r="G38">
        <v>280.60000000000002</v>
      </c>
      <c r="H38">
        <v>280.60000000000002</v>
      </c>
      <c r="I38">
        <v>304</v>
      </c>
      <c r="J38">
        <v>860.31</v>
      </c>
      <c r="K38">
        <v>735.17</v>
      </c>
      <c r="L38">
        <v>735.17</v>
      </c>
      <c r="M38">
        <v>796.48</v>
      </c>
      <c r="N38">
        <v>19.7</v>
      </c>
      <c r="O38">
        <v>16.84</v>
      </c>
      <c r="P38">
        <v>16.84</v>
      </c>
      <c r="Q38">
        <v>18.239999999999998</v>
      </c>
      <c r="R38">
        <v>-0.14545011572664149</v>
      </c>
      <c r="S38">
        <v>-0.14545919494135839</v>
      </c>
      <c r="T38">
        <v>-0.14517766497461931</v>
      </c>
      <c r="U38">
        <v>2.6200207089779508</v>
      </c>
      <c r="V38">
        <v>2.6199928724162511</v>
      </c>
      <c r="W38">
        <v>2.6199928724162511</v>
      </c>
      <c r="X38">
        <v>2.620002151270151</v>
      </c>
      <c r="Y38">
        <v>2.289872255349816E-2</v>
      </c>
      <c r="Z38">
        <v>2.2906266577798332E-2</v>
      </c>
      <c r="AA38">
        <v>2.2906266577798332E-2</v>
      </c>
      <c r="AB38">
        <v>2.2903751903031611E-2</v>
      </c>
      <c r="AC38">
        <v>608.96</v>
      </c>
      <c r="AD38">
        <v>1.003157894736842</v>
      </c>
      <c r="AE38">
        <v>1595.48</v>
      </c>
      <c r="AF38">
        <v>1.0031639212535159</v>
      </c>
      <c r="AG38">
        <v>36.54</v>
      </c>
      <c r="AH38">
        <v>1.0032894736842111</v>
      </c>
    </row>
    <row r="39" spans="1:34" x14ac:dyDescent="0.35">
      <c r="A39" t="s">
        <v>39</v>
      </c>
      <c r="B39">
        <v>476005</v>
      </c>
      <c r="C39" t="s">
        <v>72</v>
      </c>
      <c r="D39" t="s">
        <v>446</v>
      </c>
      <c r="E39" t="s">
        <v>372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AC39">
        <v>0</v>
      </c>
      <c r="AE39">
        <v>0</v>
      </c>
      <c r="AG39">
        <v>0</v>
      </c>
    </row>
    <row r="40" spans="1:34" x14ac:dyDescent="0.35">
      <c r="A40" t="s">
        <v>39</v>
      </c>
      <c r="B40">
        <v>475266</v>
      </c>
      <c r="C40" t="s">
        <v>72</v>
      </c>
      <c r="D40" t="s">
        <v>448</v>
      </c>
      <c r="E40" t="s">
        <v>372</v>
      </c>
      <c r="F40">
        <v>400</v>
      </c>
      <c r="G40">
        <v>309.12</v>
      </c>
      <c r="H40">
        <v>229.12</v>
      </c>
      <c r="I40">
        <v>360</v>
      </c>
      <c r="J40">
        <v>298.67</v>
      </c>
      <c r="K40">
        <v>230.81</v>
      </c>
      <c r="L40">
        <v>171.08</v>
      </c>
      <c r="M40">
        <v>268.8</v>
      </c>
      <c r="N40">
        <v>8</v>
      </c>
      <c r="O40">
        <v>6.18</v>
      </c>
      <c r="P40">
        <v>4.58</v>
      </c>
      <c r="Q40">
        <v>7.2</v>
      </c>
      <c r="R40">
        <v>-0.22720000000000001</v>
      </c>
      <c r="S40">
        <v>-0.22720728563297291</v>
      </c>
      <c r="T40">
        <v>-0.22750000000000001</v>
      </c>
      <c r="U40">
        <v>0.74667500000000009</v>
      </c>
      <c r="V40">
        <v>0.74666796066252583</v>
      </c>
      <c r="W40">
        <v>0.74668296089385477</v>
      </c>
      <c r="X40">
        <v>0.74667530718546027</v>
      </c>
      <c r="Y40">
        <v>2.6785415341346631E-2</v>
      </c>
      <c r="Z40">
        <v>2.677526970235258E-2</v>
      </c>
      <c r="AA40">
        <v>2.6771101239186339E-2</v>
      </c>
      <c r="AB40">
        <v>2.6777262094295189E-2</v>
      </c>
      <c r="AC40">
        <v>709.12</v>
      </c>
      <c r="AD40">
        <v>0.96977777777777785</v>
      </c>
      <c r="AE40">
        <v>529.48</v>
      </c>
      <c r="AF40">
        <v>0.96979166666666661</v>
      </c>
      <c r="AG40">
        <v>14.18</v>
      </c>
      <c r="AH40">
        <v>0.96944444444444433</v>
      </c>
    </row>
    <row r="41" spans="1:34" x14ac:dyDescent="0.35">
      <c r="A41" t="s">
        <v>39</v>
      </c>
      <c r="B41">
        <v>476955</v>
      </c>
      <c r="C41" t="s">
        <v>72</v>
      </c>
      <c r="D41" t="s">
        <v>468</v>
      </c>
      <c r="E41" t="s">
        <v>372</v>
      </c>
      <c r="F41">
        <v>358.94</v>
      </c>
      <c r="G41">
        <v>445.01</v>
      </c>
      <c r="H41">
        <v>475.01</v>
      </c>
      <c r="I41">
        <v>390</v>
      </c>
      <c r="J41">
        <v>294.33</v>
      </c>
      <c r="K41">
        <v>364.91</v>
      </c>
      <c r="L41">
        <v>389.51</v>
      </c>
      <c r="M41">
        <v>319.8</v>
      </c>
      <c r="N41">
        <v>7.18</v>
      </c>
      <c r="O41">
        <v>8.9</v>
      </c>
      <c r="P41">
        <v>9.5</v>
      </c>
      <c r="Q41">
        <v>7.8</v>
      </c>
      <c r="R41">
        <v>0.23978937984064189</v>
      </c>
      <c r="S41">
        <v>0.23979886521931171</v>
      </c>
      <c r="T41">
        <v>0.2395543175487467</v>
      </c>
      <c r="U41">
        <v>0.81999777121524486</v>
      </c>
      <c r="V41">
        <v>0.82000404485292477</v>
      </c>
      <c r="W41">
        <v>0.8200037893939075</v>
      </c>
      <c r="X41">
        <v>0.82000186848735901</v>
      </c>
      <c r="Y41">
        <v>2.4394387252403761E-2</v>
      </c>
      <c r="Z41">
        <v>2.4389575511770029E-2</v>
      </c>
      <c r="AA41">
        <v>2.4389617724833761E-2</v>
      </c>
      <c r="AB41">
        <v>2.4391193496335849E-2</v>
      </c>
      <c r="AC41">
        <v>803.95</v>
      </c>
      <c r="AD41">
        <v>1.061410256410257</v>
      </c>
      <c r="AE41">
        <v>659.24</v>
      </c>
      <c r="AF41">
        <v>1.0614133833646029</v>
      </c>
      <c r="AG41">
        <v>16.079999999999998</v>
      </c>
      <c r="AH41">
        <v>1.0615384615384611</v>
      </c>
    </row>
    <row r="42" spans="1:34" x14ac:dyDescent="0.35">
      <c r="A42" t="s">
        <v>39</v>
      </c>
      <c r="B42">
        <v>475269</v>
      </c>
      <c r="C42" t="s">
        <v>72</v>
      </c>
      <c r="D42" t="s">
        <v>487</v>
      </c>
      <c r="E42" t="s">
        <v>372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AC42">
        <v>0</v>
      </c>
      <c r="AE42">
        <v>0</v>
      </c>
      <c r="AG42">
        <v>0</v>
      </c>
    </row>
    <row r="43" spans="1:34" x14ac:dyDescent="0.35">
      <c r="A43" t="s">
        <v>39</v>
      </c>
      <c r="B43">
        <v>476006</v>
      </c>
      <c r="C43" t="s">
        <v>72</v>
      </c>
      <c r="D43" t="s">
        <v>492</v>
      </c>
      <c r="E43" t="s">
        <v>372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AC43">
        <v>0</v>
      </c>
      <c r="AE43">
        <v>0</v>
      </c>
      <c r="AG43">
        <v>0</v>
      </c>
    </row>
    <row r="44" spans="1:34" x14ac:dyDescent="0.35">
      <c r="A44" t="s">
        <v>39</v>
      </c>
      <c r="B44">
        <v>475278</v>
      </c>
      <c r="C44" t="s">
        <v>72</v>
      </c>
      <c r="D44" t="s">
        <v>494</v>
      </c>
      <c r="E44" t="s">
        <v>372</v>
      </c>
      <c r="F44">
        <v>285.72000000000003</v>
      </c>
      <c r="G44">
        <v>257.14999999999998</v>
      </c>
      <c r="H44">
        <v>257.14999999999998</v>
      </c>
      <c r="I44">
        <v>342.86</v>
      </c>
      <c r="J44">
        <v>302.86</v>
      </c>
      <c r="K44">
        <v>272.58</v>
      </c>
      <c r="L44">
        <v>272.58</v>
      </c>
      <c r="M44">
        <v>363.44</v>
      </c>
      <c r="N44">
        <v>7.62</v>
      </c>
      <c r="O44">
        <v>6.86</v>
      </c>
      <c r="P44">
        <v>6.86</v>
      </c>
      <c r="Q44">
        <v>9.14</v>
      </c>
      <c r="R44">
        <v>-9.9993000139997346E-2</v>
      </c>
      <c r="S44">
        <v>-9.9980188866142905E-2</v>
      </c>
      <c r="T44">
        <v>-9.9737532808398921E-2</v>
      </c>
      <c r="U44">
        <v>1.059988800223995</v>
      </c>
      <c r="V44">
        <v>1.0600038887808669</v>
      </c>
      <c r="W44">
        <v>1.0600038887808669</v>
      </c>
      <c r="X44">
        <v>1.0599988592619101</v>
      </c>
      <c r="Y44">
        <v>2.5160139998679259E-2</v>
      </c>
      <c r="Z44">
        <v>2.5166923472008221E-2</v>
      </c>
      <c r="AA44">
        <v>2.5166923472008221E-2</v>
      </c>
      <c r="AB44">
        <v>2.5164662314231898E-2</v>
      </c>
      <c r="AC44">
        <v>542.87</v>
      </c>
      <c r="AD44">
        <v>0.58335763868634416</v>
      </c>
      <c r="AE44">
        <v>575.44000000000005</v>
      </c>
      <c r="AF44">
        <v>0.58331499009465126</v>
      </c>
      <c r="AG44">
        <v>14.48</v>
      </c>
      <c r="AH44">
        <v>0.5842450765864331</v>
      </c>
    </row>
    <row r="45" spans="1:34" x14ac:dyDescent="0.35">
      <c r="A45" t="s">
        <v>39</v>
      </c>
      <c r="B45">
        <v>680218</v>
      </c>
      <c r="C45" t="s">
        <v>72</v>
      </c>
      <c r="D45" t="s">
        <v>513</v>
      </c>
      <c r="E45" t="s">
        <v>514</v>
      </c>
      <c r="F45">
        <v>297.79000000000002</v>
      </c>
      <c r="G45">
        <v>195.13</v>
      </c>
      <c r="H45">
        <v>0</v>
      </c>
      <c r="I45">
        <v>359.33</v>
      </c>
      <c r="J45">
        <v>305.73</v>
      </c>
      <c r="K45">
        <v>200.33</v>
      </c>
      <c r="L45">
        <v>0</v>
      </c>
      <c r="M45">
        <v>368.91</v>
      </c>
      <c r="N45">
        <v>7.94</v>
      </c>
      <c r="O45">
        <v>5.2</v>
      </c>
      <c r="P45">
        <v>0</v>
      </c>
      <c r="Q45">
        <v>9.58</v>
      </c>
      <c r="R45">
        <v>-0.34473958158433798</v>
      </c>
      <c r="S45">
        <v>-0.34474863441598791</v>
      </c>
      <c r="T45">
        <v>-0.34508816120906799</v>
      </c>
      <c r="U45">
        <v>1.026663084724134</v>
      </c>
      <c r="V45">
        <v>1.026648900732845</v>
      </c>
      <c r="X45">
        <v>1.02665599272849</v>
      </c>
      <c r="Y45">
        <v>2.5970627678016549E-2</v>
      </c>
      <c r="Z45">
        <v>2.5957170668397141E-2</v>
      </c>
      <c r="AB45">
        <v>2.596389917320685E-2</v>
      </c>
      <c r="AC45">
        <v>492.92</v>
      </c>
      <c r="AD45">
        <v>0.37177524837892761</v>
      </c>
      <c r="AE45">
        <v>506.06000000000012</v>
      </c>
      <c r="AF45">
        <v>0.37177089262963881</v>
      </c>
      <c r="AG45">
        <v>13.14</v>
      </c>
      <c r="AH45">
        <v>0.37160751565762018</v>
      </c>
    </row>
    <row r="46" spans="1:34" x14ac:dyDescent="0.35">
      <c r="A46" t="s">
        <v>39</v>
      </c>
      <c r="B46">
        <v>680226</v>
      </c>
      <c r="C46" t="s">
        <v>72</v>
      </c>
      <c r="D46" t="s">
        <v>530</v>
      </c>
      <c r="E46" t="s">
        <v>514</v>
      </c>
      <c r="F46">
        <v>200.65</v>
      </c>
      <c r="G46">
        <v>97.98</v>
      </c>
      <c r="H46">
        <v>0</v>
      </c>
      <c r="I46">
        <v>333.67</v>
      </c>
      <c r="J46">
        <v>379.89</v>
      </c>
      <c r="K46">
        <v>185.51</v>
      </c>
      <c r="L46">
        <v>0</v>
      </c>
      <c r="M46">
        <v>631.75</v>
      </c>
      <c r="N46">
        <v>9.36</v>
      </c>
      <c r="O46">
        <v>4.57</v>
      </c>
      <c r="P46">
        <v>0</v>
      </c>
      <c r="Q46">
        <v>15.57</v>
      </c>
      <c r="R46">
        <v>-0.51168701719411913</v>
      </c>
      <c r="S46">
        <v>-0.51167443207244201</v>
      </c>
      <c r="T46">
        <v>-0.51175213675213671</v>
      </c>
      <c r="U46">
        <v>1.893296785447296</v>
      </c>
      <c r="V46">
        <v>1.8933455807307611</v>
      </c>
      <c r="X46">
        <v>1.8933211830890291</v>
      </c>
      <c r="Y46">
        <v>2.463871120587538E-2</v>
      </c>
      <c r="Z46">
        <v>2.463479057732737E-2</v>
      </c>
      <c r="AB46">
        <v>2.4636750891601372E-2</v>
      </c>
      <c r="AC46">
        <v>298.63</v>
      </c>
      <c r="AD46">
        <v>-0.1050139359247161</v>
      </c>
      <c r="AE46">
        <v>565.4</v>
      </c>
      <c r="AF46">
        <v>-0.1050257222002374</v>
      </c>
      <c r="AG46">
        <v>13.93</v>
      </c>
      <c r="AH46">
        <v>-0.1053307642903019</v>
      </c>
    </row>
    <row r="47" spans="1:34" x14ac:dyDescent="0.35">
      <c r="A47" t="s">
        <v>39</v>
      </c>
      <c r="B47">
        <v>698117</v>
      </c>
      <c r="C47" t="s">
        <v>72</v>
      </c>
      <c r="D47" t="s">
        <v>542</v>
      </c>
      <c r="E47" t="s">
        <v>543</v>
      </c>
      <c r="F47">
        <v>35.72</v>
      </c>
      <c r="G47">
        <v>17.260000000000002</v>
      </c>
      <c r="H47">
        <v>17.260000000000002</v>
      </c>
      <c r="I47">
        <v>125.01</v>
      </c>
      <c r="J47">
        <v>15</v>
      </c>
      <c r="K47">
        <v>7.25</v>
      </c>
      <c r="L47">
        <v>7.25</v>
      </c>
      <c r="M47">
        <v>52.5</v>
      </c>
      <c r="N47">
        <v>0.48</v>
      </c>
      <c r="O47">
        <v>0.23</v>
      </c>
      <c r="P47">
        <v>0.23</v>
      </c>
      <c r="Q47">
        <v>1.67</v>
      </c>
      <c r="R47">
        <v>-0.51679731243001115</v>
      </c>
      <c r="S47">
        <v>-0.51666666666666661</v>
      </c>
      <c r="T47">
        <v>-0.52083333333333326</v>
      </c>
      <c r="U47">
        <v>0.41993281075027999</v>
      </c>
      <c r="V47">
        <v>0.42004634994206252</v>
      </c>
      <c r="W47">
        <v>0.42004634994206252</v>
      </c>
      <c r="X47">
        <v>0.42000850354480168</v>
      </c>
      <c r="Y47">
        <v>3.2000000000000001E-2</v>
      </c>
      <c r="Z47">
        <v>3.1724137931034492E-2</v>
      </c>
      <c r="AA47">
        <v>3.1724137931034492E-2</v>
      </c>
      <c r="AB47">
        <v>3.181609195402299E-2</v>
      </c>
      <c r="AC47">
        <v>52.98</v>
      </c>
      <c r="AD47">
        <v>-0.57619390448764096</v>
      </c>
      <c r="AE47">
        <v>22.25</v>
      </c>
      <c r="AF47">
        <v>-0.57619047619047614</v>
      </c>
      <c r="AG47">
        <v>0.71</v>
      </c>
      <c r="AH47">
        <v>-0.57485029940119758</v>
      </c>
    </row>
    <row r="48" spans="1:34" x14ac:dyDescent="0.35">
      <c r="A48" t="s">
        <v>39</v>
      </c>
      <c r="B48">
        <v>36572</v>
      </c>
      <c r="C48" t="s">
        <v>72</v>
      </c>
      <c r="D48" t="s">
        <v>552</v>
      </c>
      <c r="E48" t="s">
        <v>553</v>
      </c>
      <c r="F48">
        <v>9.8000000000000007</v>
      </c>
      <c r="G48">
        <v>9.8000000000000007</v>
      </c>
      <c r="H48">
        <v>9.8000000000000007</v>
      </c>
      <c r="I48">
        <v>9.8000000000000007</v>
      </c>
      <c r="J48">
        <v>8.0299999999999994</v>
      </c>
      <c r="K48">
        <v>8.0299999999999994</v>
      </c>
      <c r="L48">
        <v>8.0299999999999994</v>
      </c>
      <c r="M48">
        <v>8.0299999999999994</v>
      </c>
      <c r="N48">
        <v>0.54</v>
      </c>
      <c r="O48">
        <v>0.54</v>
      </c>
      <c r="P48">
        <v>0.54</v>
      </c>
      <c r="Q48">
        <v>0.54</v>
      </c>
      <c r="R48">
        <v>0</v>
      </c>
      <c r="S48">
        <v>0</v>
      </c>
      <c r="T48">
        <v>0</v>
      </c>
      <c r="U48">
        <v>0.81938775510204065</v>
      </c>
      <c r="V48">
        <v>0.81938775510204065</v>
      </c>
      <c r="W48">
        <v>0.81938775510204065</v>
      </c>
      <c r="X48">
        <v>0.81938775510204065</v>
      </c>
      <c r="Y48">
        <v>6.7247820672478212E-2</v>
      </c>
      <c r="Z48">
        <v>6.7247820672478212E-2</v>
      </c>
      <c r="AA48">
        <v>6.7247820672478212E-2</v>
      </c>
      <c r="AB48">
        <v>6.7247820672478212E-2</v>
      </c>
      <c r="AC48">
        <v>19.600000000000001</v>
      </c>
      <c r="AD48">
        <v>1</v>
      </c>
      <c r="AE48">
        <v>16.059999999999999</v>
      </c>
      <c r="AF48">
        <v>1</v>
      </c>
      <c r="AG48">
        <v>1.08</v>
      </c>
      <c r="AH48">
        <v>1</v>
      </c>
    </row>
    <row r="49" spans="1:34" x14ac:dyDescent="0.35">
      <c r="A49" t="s">
        <v>39</v>
      </c>
      <c r="B49">
        <v>263155</v>
      </c>
      <c r="C49" t="s">
        <v>72</v>
      </c>
      <c r="D49" t="s">
        <v>567</v>
      </c>
      <c r="E49" t="s">
        <v>568</v>
      </c>
      <c r="F49">
        <v>204.12</v>
      </c>
      <c r="G49">
        <v>204.87</v>
      </c>
      <c r="H49">
        <v>204.87</v>
      </c>
      <c r="I49">
        <v>204.12</v>
      </c>
      <c r="J49">
        <v>60.57</v>
      </c>
      <c r="K49">
        <v>60.8</v>
      </c>
      <c r="L49">
        <v>60.8</v>
      </c>
      <c r="M49">
        <v>60.57</v>
      </c>
      <c r="N49">
        <v>2.76</v>
      </c>
      <c r="O49">
        <v>2.77</v>
      </c>
      <c r="P49">
        <v>2.77</v>
      </c>
      <c r="Q49">
        <v>2.76</v>
      </c>
      <c r="R49">
        <v>3.674309229864781E-3</v>
      </c>
      <c r="S49">
        <v>3.7972593693247352E-3</v>
      </c>
      <c r="T49">
        <v>3.623188405797118E-3</v>
      </c>
      <c r="U49">
        <v>0.29673721340387998</v>
      </c>
      <c r="V49">
        <v>0.29677356372333669</v>
      </c>
      <c r="W49">
        <v>0.29677356372333669</v>
      </c>
      <c r="X49">
        <v>0.29676144695018453</v>
      </c>
      <c r="Y49">
        <v>4.5567112431896983E-2</v>
      </c>
      <c r="Z49">
        <v>4.5559210526315792E-2</v>
      </c>
      <c r="AA49">
        <v>4.5559210526315792E-2</v>
      </c>
      <c r="AB49">
        <v>4.5561844494842851E-2</v>
      </c>
      <c r="AC49">
        <v>408.99</v>
      </c>
      <c r="AD49">
        <v>1.003674309229865</v>
      </c>
      <c r="AE49">
        <v>121.37</v>
      </c>
      <c r="AF49">
        <v>1.003797259369325</v>
      </c>
      <c r="AG49">
        <v>5.5299999999999994</v>
      </c>
      <c r="AH49">
        <v>1.0036231884057969</v>
      </c>
    </row>
    <row r="50" spans="1:34" x14ac:dyDescent="0.35">
      <c r="A50" t="s">
        <v>39</v>
      </c>
      <c r="B50">
        <v>263156</v>
      </c>
      <c r="C50" t="s">
        <v>72</v>
      </c>
      <c r="D50" t="s">
        <v>582</v>
      </c>
      <c r="E50" t="s">
        <v>568</v>
      </c>
      <c r="F50">
        <v>141.99</v>
      </c>
      <c r="G50">
        <v>142.59</v>
      </c>
      <c r="H50">
        <v>142.59</v>
      </c>
      <c r="I50">
        <v>143.4</v>
      </c>
      <c r="J50">
        <v>82.45</v>
      </c>
      <c r="K50">
        <v>82.8</v>
      </c>
      <c r="L50">
        <v>82.8</v>
      </c>
      <c r="M50">
        <v>83.27</v>
      </c>
      <c r="N50">
        <v>6.23</v>
      </c>
      <c r="O50">
        <v>6.26</v>
      </c>
      <c r="P50">
        <v>6.26</v>
      </c>
      <c r="Q50">
        <v>6.29</v>
      </c>
      <c r="R50">
        <v>4.2256496936403654E-3</v>
      </c>
      <c r="S50">
        <v>4.2449969678592936E-3</v>
      </c>
      <c r="T50">
        <v>4.8154093097911854E-3</v>
      </c>
      <c r="U50">
        <v>0.58067469540108452</v>
      </c>
      <c r="V50">
        <v>0.58068588260046283</v>
      </c>
      <c r="W50">
        <v>0.58068588260046283</v>
      </c>
      <c r="X50">
        <v>0.58068215353400332</v>
      </c>
      <c r="Y50">
        <v>7.5560946027895703E-2</v>
      </c>
      <c r="Z50">
        <v>7.5603864734299517E-2</v>
      </c>
      <c r="AA50">
        <v>7.5603864734299517E-2</v>
      </c>
      <c r="AB50">
        <v>7.5589558498831588E-2</v>
      </c>
      <c r="AC50">
        <v>284.58</v>
      </c>
      <c r="AD50">
        <v>0.9845188284518831</v>
      </c>
      <c r="AE50">
        <v>165.25</v>
      </c>
      <c r="AF50">
        <v>0.98450822625195156</v>
      </c>
      <c r="AG50">
        <v>12.49</v>
      </c>
      <c r="AH50">
        <v>0.98569157392686813</v>
      </c>
    </row>
    <row r="51" spans="1:34" x14ac:dyDescent="0.35">
      <c r="A51" t="s">
        <v>39</v>
      </c>
      <c r="B51">
        <v>263158</v>
      </c>
      <c r="C51" t="s">
        <v>72</v>
      </c>
      <c r="D51" t="s">
        <v>604</v>
      </c>
      <c r="E51" t="s">
        <v>568</v>
      </c>
      <c r="F51">
        <v>169.81</v>
      </c>
      <c r="G51">
        <v>169.62</v>
      </c>
      <c r="H51">
        <v>169.62</v>
      </c>
      <c r="I51">
        <v>203.78</v>
      </c>
      <c r="J51">
        <v>69.099999999999994</v>
      </c>
      <c r="K51">
        <v>69.03</v>
      </c>
      <c r="L51">
        <v>69.03</v>
      </c>
      <c r="M51">
        <v>82.93</v>
      </c>
      <c r="N51">
        <v>4.1900000000000004</v>
      </c>
      <c r="O51">
        <v>4.1900000000000004</v>
      </c>
      <c r="P51">
        <v>4.1900000000000004</v>
      </c>
      <c r="Q51">
        <v>5.03</v>
      </c>
      <c r="R51">
        <v>-1.118897591425694E-3</v>
      </c>
      <c r="S51">
        <v>-1.013024602025903E-3</v>
      </c>
      <c r="T51">
        <v>0</v>
      </c>
      <c r="U51">
        <v>0.40692538719745602</v>
      </c>
      <c r="V51">
        <v>0.4069685178634595</v>
      </c>
      <c r="W51">
        <v>0.4069685178634595</v>
      </c>
      <c r="X51">
        <v>0.40695414097479171</v>
      </c>
      <c r="Y51">
        <v>6.0636758321273528E-2</v>
      </c>
      <c r="Z51">
        <v>6.0698247138925111E-2</v>
      </c>
      <c r="AA51">
        <v>6.0698247138925111E-2</v>
      </c>
      <c r="AB51">
        <v>6.0677750866374593E-2</v>
      </c>
      <c r="AC51">
        <v>339.43</v>
      </c>
      <c r="AD51">
        <v>0.66566885857297087</v>
      </c>
      <c r="AE51">
        <v>138.13</v>
      </c>
      <c r="AF51">
        <v>0.66562160858555397</v>
      </c>
      <c r="AG51">
        <v>8.3800000000000008</v>
      </c>
      <c r="AH51">
        <v>0.66600397614314133</v>
      </c>
    </row>
    <row r="52" spans="1:34" x14ac:dyDescent="0.35">
      <c r="A52" t="s">
        <v>39</v>
      </c>
      <c r="B52">
        <v>263159</v>
      </c>
      <c r="C52" t="s">
        <v>72</v>
      </c>
      <c r="D52" t="s">
        <v>623</v>
      </c>
      <c r="E52" t="s">
        <v>568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AC52">
        <v>0</v>
      </c>
      <c r="AE52">
        <v>0</v>
      </c>
      <c r="AG52">
        <v>0</v>
      </c>
    </row>
    <row r="53" spans="1:34" x14ac:dyDescent="0.35">
      <c r="A53" t="s">
        <v>39</v>
      </c>
      <c r="B53">
        <v>263160</v>
      </c>
      <c r="C53" t="s">
        <v>72</v>
      </c>
      <c r="D53" t="s">
        <v>625</v>
      </c>
      <c r="E53" t="s">
        <v>568</v>
      </c>
      <c r="F53">
        <v>134.13</v>
      </c>
      <c r="G53">
        <v>202.09</v>
      </c>
      <c r="H53">
        <v>202.09</v>
      </c>
      <c r="I53">
        <v>201.19</v>
      </c>
      <c r="J53">
        <v>42.23</v>
      </c>
      <c r="K53">
        <v>63.62</v>
      </c>
      <c r="L53">
        <v>63.62</v>
      </c>
      <c r="M53">
        <v>63.34</v>
      </c>
      <c r="N53">
        <v>1.81</v>
      </c>
      <c r="O53">
        <v>2.73</v>
      </c>
      <c r="P53">
        <v>2.73</v>
      </c>
      <c r="Q53">
        <v>2.72</v>
      </c>
      <c r="R53">
        <v>0.50667263102959814</v>
      </c>
      <c r="S53">
        <v>0.50651195832346674</v>
      </c>
      <c r="T53">
        <v>0.50828729281767959</v>
      </c>
      <c r="U53">
        <v>0.31484380824573172</v>
      </c>
      <c r="V53">
        <v>0.3148102330644762</v>
      </c>
      <c r="W53">
        <v>0.3148102330644762</v>
      </c>
      <c r="X53">
        <v>0.31482142479156128</v>
      </c>
      <c r="Y53">
        <v>4.286052569263557E-2</v>
      </c>
      <c r="Z53">
        <v>4.2911034265954107E-2</v>
      </c>
      <c r="AA53">
        <v>4.2911034265954107E-2</v>
      </c>
      <c r="AB53">
        <v>4.2894198074847928E-2</v>
      </c>
      <c r="AC53">
        <v>336.22</v>
      </c>
      <c r="AD53">
        <v>0.67115661812217331</v>
      </c>
      <c r="AE53">
        <v>105.85</v>
      </c>
      <c r="AF53">
        <v>0.67113988001263003</v>
      </c>
      <c r="AG53">
        <v>4.54</v>
      </c>
      <c r="AH53">
        <v>0.66911764705882337</v>
      </c>
    </row>
    <row r="54" spans="1:34" x14ac:dyDescent="0.35">
      <c r="A54" t="s">
        <v>39</v>
      </c>
      <c r="B54">
        <v>263161</v>
      </c>
      <c r="C54" t="s">
        <v>72</v>
      </c>
      <c r="D54" t="s">
        <v>642</v>
      </c>
      <c r="E54" t="s">
        <v>568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AC54">
        <v>0</v>
      </c>
      <c r="AE54">
        <v>0</v>
      </c>
      <c r="AG54">
        <v>0</v>
      </c>
    </row>
    <row r="55" spans="1:34" x14ac:dyDescent="0.35">
      <c r="A55" t="s">
        <v>39</v>
      </c>
      <c r="B55">
        <v>263162</v>
      </c>
      <c r="C55" t="s">
        <v>72</v>
      </c>
      <c r="D55" t="s">
        <v>644</v>
      </c>
      <c r="E55" t="s">
        <v>568</v>
      </c>
      <c r="F55">
        <v>33.950000000000003</v>
      </c>
      <c r="G55">
        <v>33.950000000000003</v>
      </c>
      <c r="H55">
        <v>33.950000000000003</v>
      </c>
      <c r="I55">
        <v>101.85</v>
      </c>
      <c r="J55">
        <v>21.44</v>
      </c>
      <c r="K55">
        <v>21.44</v>
      </c>
      <c r="L55">
        <v>21.44</v>
      </c>
      <c r="M55">
        <v>64.31</v>
      </c>
      <c r="N55">
        <v>0.84</v>
      </c>
      <c r="O55">
        <v>0.84</v>
      </c>
      <c r="P55">
        <v>0.84</v>
      </c>
      <c r="Q55">
        <v>2.5099999999999998</v>
      </c>
      <c r="R55">
        <v>0</v>
      </c>
      <c r="S55">
        <v>0</v>
      </c>
      <c r="T55">
        <v>0</v>
      </c>
      <c r="U55">
        <v>0.63151693667157582</v>
      </c>
      <c r="V55">
        <v>0.63151693667157582</v>
      </c>
      <c r="W55">
        <v>0.63151693667157582</v>
      </c>
      <c r="X55">
        <v>0.63151693667157582</v>
      </c>
      <c r="Y55">
        <v>3.9179104477611942E-2</v>
      </c>
      <c r="Z55">
        <v>3.9179104477611942E-2</v>
      </c>
      <c r="AA55">
        <v>3.9179104477611942E-2</v>
      </c>
      <c r="AB55">
        <v>3.9179104477611942E-2</v>
      </c>
      <c r="AC55">
        <v>67.900000000000006</v>
      </c>
      <c r="AD55">
        <v>-0.33333333333333331</v>
      </c>
      <c r="AE55">
        <v>42.88</v>
      </c>
      <c r="AF55">
        <v>-0.33322966879178972</v>
      </c>
      <c r="AG55">
        <v>1.68</v>
      </c>
      <c r="AH55">
        <v>-0.33067729083665331</v>
      </c>
    </row>
    <row r="56" spans="1:34" x14ac:dyDescent="0.35">
      <c r="A56" t="s">
        <v>39</v>
      </c>
      <c r="B56">
        <v>263163</v>
      </c>
      <c r="C56" t="s">
        <v>72</v>
      </c>
      <c r="D56" t="s">
        <v>661</v>
      </c>
      <c r="E56" t="s">
        <v>568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AC56">
        <v>0</v>
      </c>
      <c r="AE56">
        <v>0</v>
      </c>
      <c r="AG56">
        <v>0</v>
      </c>
    </row>
    <row r="57" spans="1:34" x14ac:dyDescent="0.35">
      <c r="A57" t="s">
        <v>39</v>
      </c>
      <c r="B57">
        <v>263166</v>
      </c>
      <c r="C57" t="s">
        <v>72</v>
      </c>
      <c r="D57" t="s">
        <v>663</v>
      </c>
      <c r="E57" t="s">
        <v>281</v>
      </c>
      <c r="F57">
        <v>96.45</v>
      </c>
      <c r="G57">
        <v>96.69</v>
      </c>
      <c r="H57">
        <v>96.69</v>
      </c>
      <c r="I57">
        <v>67.290000000000006</v>
      </c>
      <c r="J57">
        <v>97.73</v>
      </c>
      <c r="K57">
        <v>97.97</v>
      </c>
      <c r="L57">
        <v>97.97</v>
      </c>
      <c r="M57">
        <v>68.180000000000007</v>
      </c>
      <c r="N57">
        <v>0.83</v>
      </c>
      <c r="O57">
        <v>0.83</v>
      </c>
      <c r="P57">
        <v>0.83</v>
      </c>
      <c r="Q57">
        <v>0.57999999999999996</v>
      </c>
      <c r="R57">
        <v>2.488335925349805E-3</v>
      </c>
      <c r="S57">
        <v>2.455745421057864E-3</v>
      </c>
      <c r="T57">
        <v>0</v>
      </c>
      <c r="U57">
        <v>1.0132711249352</v>
      </c>
      <c r="V57">
        <v>1.013238183886648</v>
      </c>
      <c r="W57">
        <v>1.013238183886648</v>
      </c>
      <c r="X57">
        <v>1.013249164236165</v>
      </c>
      <c r="Y57">
        <v>8.4927862478256406E-3</v>
      </c>
      <c r="Z57">
        <v>8.4719812187404302E-3</v>
      </c>
      <c r="AA57">
        <v>8.4719812187404302E-3</v>
      </c>
      <c r="AB57">
        <v>8.478916228435501E-3</v>
      </c>
      <c r="AC57">
        <v>193.14</v>
      </c>
      <c r="AD57">
        <v>1.8702630405706639</v>
      </c>
      <c r="AE57">
        <v>195.7</v>
      </c>
      <c r="AF57">
        <v>1.8703432091522441</v>
      </c>
      <c r="AG57">
        <v>1.66</v>
      </c>
      <c r="AH57">
        <v>1.862068965517242</v>
      </c>
    </row>
    <row r="58" spans="1:34" x14ac:dyDescent="0.35">
      <c r="A58" t="s">
        <v>39</v>
      </c>
      <c r="B58">
        <v>263168</v>
      </c>
      <c r="C58" t="s">
        <v>72</v>
      </c>
      <c r="D58" t="s">
        <v>679</v>
      </c>
      <c r="E58" t="s">
        <v>281</v>
      </c>
      <c r="F58">
        <v>71.92</v>
      </c>
      <c r="G58">
        <v>65.23</v>
      </c>
      <c r="H58">
        <v>65.23</v>
      </c>
      <c r="I58">
        <v>64.31</v>
      </c>
      <c r="J58">
        <v>66.88</v>
      </c>
      <c r="K58">
        <v>60.66</v>
      </c>
      <c r="L58">
        <v>60.66</v>
      </c>
      <c r="M58">
        <v>59.81</v>
      </c>
      <c r="N58">
        <v>0.92</v>
      </c>
      <c r="O58">
        <v>0.83</v>
      </c>
      <c r="P58">
        <v>0.83</v>
      </c>
      <c r="Q58">
        <v>0.82</v>
      </c>
      <c r="R58">
        <v>-9.3020022246941059E-2</v>
      </c>
      <c r="S58">
        <v>-9.3002392344497586E-2</v>
      </c>
      <c r="T58">
        <v>-9.782608695652184E-2</v>
      </c>
      <c r="U58">
        <v>0.9299221357063403</v>
      </c>
      <c r="V58">
        <v>0.92994021155909845</v>
      </c>
      <c r="W58">
        <v>0.92994021155909845</v>
      </c>
      <c r="X58">
        <v>0.9299341862748457</v>
      </c>
      <c r="Y58">
        <v>1.375598086124402E-2</v>
      </c>
      <c r="Z58">
        <v>1.368282228816353E-2</v>
      </c>
      <c r="AA58">
        <v>1.368282228816353E-2</v>
      </c>
      <c r="AB58">
        <v>1.370720847919036E-2</v>
      </c>
      <c r="AC58">
        <v>137.15</v>
      </c>
      <c r="AD58">
        <v>1.1326387809049909</v>
      </c>
      <c r="AE58">
        <v>127.54</v>
      </c>
      <c r="AF58">
        <v>1.1324193278715931</v>
      </c>
      <c r="AG58">
        <v>1.75</v>
      </c>
      <c r="AH58">
        <v>1.134146341463415</v>
      </c>
    </row>
    <row r="59" spans="1:34" x14ac:dyDescent="0.35">
      <c r="A59" t="s">
        <v>39</v>
      </c>
      <c r="B59">
        <v>263172</v>
      </c>
      <c r="C59" t="s">
        <v>72</v>
      </c>
      <c r="D59" t="s">
        <v>691</v>
      </c>
      <c r="E59" t="s">
        <v>692</v>
      </c>
      <c r="F59">
        <v>0</v>
      </c>
      <c r="G59">
        <v>0</v>
      </c>
      <c r="H59">
        <v>0</v>
      </c>
      <c r="I59">
        <v>22.11</v>
      </c>
      <c r="J59">
        <v>0</v>
      </c>
      <c r="K59">
        <v>0</v>
      </c>
      <c r="L59">
        <v>0</v>
      </c>
      <c r="M59">
        <v>27.45</v>
      </c>
      <c r="N59">
        <v>0</v>
      </c>
      <c r="O59">
        <v>0</v>
      </c>
      <c r="P59">
        <v>0</v>
      </c>
      <c r="Q59">
        <v>0.81</v>
      </c>
      <c r="AC59">
        <v>0</v>
      </c>
      <c r="AD59">
        <v>-1</v>
      </c>
      <c r="AE59">
        <v>0</v>
      </c>
      <c r="AF59">
        <v>-1</v>
      </c>
      <c r="AG59">
        <v>0</v>
      </c>
      <c r="AH59">
        <v>-1</v>
      </c>
    </row>
    <row r="60" spans="1:34" x14ac:dyDescent="0.35">
      <c r="A60" t="s">
        <v>39</v>
      </c>
      <c r="B60">
        <v>263173</v>
      </c>
      <c r="C60" t="s">
        <v>72</v>
      </c>
      <c r="D60" t="s">
        <v>698</v>
      </c>
      <c r="E60" t="s">
        <v>692</v>
      </c>
      <c r="F60">
        <v>20.12</v>
      </c>
      <c r="G60">
        <v>20.09</v>
      </c>
      <c r="H60">
        <v>20.09</v>
      </c>
      <c r="I60">
        <v>26</v>
      </c>
      <c r="J60">
        <v>15.54</v>
      </c>
      <c r="K60">
        <v>15.52</v>
      </c>
      <c r="L60">
        <v>15.52</v>
      </c>
      <c r="M60">
        <v>20.09</v>
      </c>
      <c r="N60">
        <v>1.17</v>
      </c>
      <c r="O60">
        <v>1.17</v>
      </c>
      <c r="P60">
        <v>1.17</v>
      </c>
      <c r="Q60">
        <v>1.52</v>
      </c>
      <c r="R60">
        <v>-1.4910536779324519E-3</v>
      </c>
      <c r="S60">
        <v>-1.28700128700121E-3</v>
      </c>
      <c r="T60">
        <v>0</v>
      </c>
      <c r="U60">
        <v>0.77236580516898601</v>
      </c>
      <c r="V60">
        <v>0.77252364360378301</v>
      </c>
      <c r="W60">
        <v>0.77252364360378301</v>
      </c>
      <c r="X60">
        <v>0.77247103079218393</v>
      </c>
      <c r="Y60">
        <v>7.5289575289575292E-2</v>
      </c>
      <c r="Z60">
        <v>7.5386597938144326E-2</v>
      </c>
      <c r="AA60">
        <v>7.5386597938144326E-2</v>
      </c>
      <c r="AB60">
        <v>7.5354257055287976E-2</v>
      </c>
      <c r="AC60">
        <v>40.21</v>
      </c>
      <c r="AD60">
        <v>0.54653846153846164</v>
      </c>
      <c r="AE60">
        <v>31.06</v>
      </c>
      <c r="AF60">
        <v>0.54604280736684907</v>
      </c>
      <c r="AG60">
        <v>2.34</v>
      </c>
      <c r="AH60">
        <v>0.53947368421052611</v>
      </c>
    </row>
    <row r="61" spans="1:34" x14ac:dyDescent="0.35">
      <c r="A61" t="s">
        <v>39</v>
      </c>
      <c r="B61">
        <v>263174</v>
      </c>
      <c r="C61" t="s">
        <v>72</v>
      </c>
      <c r="D61" t="s">
        <v>709</v>
      </c>
      <c r="E61" t="s">
        <v>692</v>
      </c>
      <c r="F61">
        <v>0</v>
      </c>
      <c r="G61">
        <v>0</v>
      </c>
      <c r="H61">
        <v>0</v>
      </c>
      <c r="I61">
        <v>34.409999999999997</v>
      </c>
      <c r="J61">
        <v>0</v>
      </c>
      <c r="K61">
        <v>0</v>
      </c>
      <c r="L61">
        <v>0</v>
      </c>
      <c r="M61">
        <v>26.74</v>
      </c>
      <c r="N61">
        <v>0</v>
      </c>
      <c r="O61">
        <v>0</v>
      </c>
      <c r="P61">
        <v>0</v>
      </c>
      <c r="Q61">
        <v>2.6</v>
      </c>
      <c r="AC61">
        <v>0</v>
      </c>
      <c r="AD61">
        <v>-1</v>
      </c>
      <c r="AE61">
        <v>0</v>
      </c>
      <c r="AF61">
        <v>-1</v>
      </c>
      <c r="AG61">
        <v>0</v>
      </c>
      <c r="AH61">
        <v>-1</v>
      </c>
    </row>
    <row r="62" spans="1:34" x14ac:dyDescent="0.35">
      <c r="A62" t="s">
        <v>39</v>
      </c>
      <c r="B62">
        <v>266931</v>
      </c>
      <c r="C62" t="s">
        <v>72</v>
      </c>
      <c r="D62" t="s">
        <v>717</v>
      </c>
      <c r="E62" t="s">
        <v>718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AC62">
        <v>0</v>
      </c>
      <c r="AE62">
        <v>0</v>
      </c>
      <c r="AG62">
        <v>0</v>
      </c>
    </row>
    <row r="63" spans="1:34" x14ac:dyDescent="0.35">
      <c r="A63" t="s">
        <v>39</v>
      </c>
      <c r="B63">
        <v>269417</v>
      </c>
      <c r="C63" t="s">
        <v>72</v>
      </c>
      <c r="D63" t="s">
        <v>720</v>
      </c>
      <c r="E63" t="s">
        <v>721</v>
      </c>
      <c r="F63">
        <v>690.1</v>
      </c>
      <c r="G63">
        <v>630.21</v>
      </c>
      <c r="H63">
        <v>630.21</v>
      </c>
      <c r="I63">
        <v>621.75</v>
      </c>
      <c r="J63">
        <v>249.45</v>
      </c>
      <c r="K63">
        <v>227.8</v>
      </c>
      <c r="L63">
        <v>227.8</v>
      </c>
      <c r="M63">
        <v>224.74</v>
      </c>
      <c r="N63">
        <v>6.88</v>
      </c>
      <c r="O63">
        <v>6.29</v>
      </c>
      <c r="P63">
        <v>6.29</v>
      </c>
      <c r="Q63">
        <v>6.2</v>
      </c>
      <c r="R63">
        <v>-8.6784523982031514E-2</v>
      </c>
      <c r="S63">
        <v>-8.6790940068149802E-2</v>
      </c>
      <c r="T63">
        <v>-8.5755813953488302E-2</v>
      </c>
      <c r="U63">
        <v>0.36146935226778731</v>
      </c>
      <c r="V63">
        <v>0.36146681264975172</v>
      </c>
      <c r="W63">
        <v>0.36146681264975172</v>
      </c>
      <c r="X63">
        <v>0.36146765918909679</v>
      </c>
      <c r="Y63">
        <v>2.7580677490479051E-2</v>
      </c>
      <c r="Z63">
        <v>2.761194029850746E-2</v>
      </c>
      <c r="AA63">
        <v>2.761194029850746E-2</v>
      </c>
      <c r="AB63">
        <v>2.7601519362497991E-2</v>
      </c>
      <c r="AC63">
        <v>1320.31</v>
      </c>
      <c r="AD63">
        <v>1.123538399678327</v>
      </c>
      <c r="AE63">
        <v>477.25</v>
      </c>
      <c r="AF63">
        <v>1.123565008454213</v>
      </c>
      <c r="AG63">
        <v>13.17</v>
      </c>
      <c r="AH63">
        <v>1.1241935483870971</v>
      </c>
    </row>
    <row r="64" spans="1:34" x14ac:dyDescent="0.35">
      <c r="A64" t="s">
        <v>39</v>
      </c>
      <c r="B64">
        <v>269418</v>
      </c>
      <c r="C64" t="s">
        <v>72</v>
      </c>
      <c r="D64" t="s">
        <v>737</v>
      </c>
      <c r="E64" t="s">
        <v>721</v>
      </c>
      <c r="F64">
        <v>74.73</v>
      </c>
      <c r="G64">
        <v>93.97</v>
      </c>
      <c r="H64">
        <v>93.97</v>
      </c>
      <c r="I64">
        <v>74.760000000000005</v>
      </c>
      <c r="J64">
        <v>55.03</v>
      </c>
      <c r="K64">
        <v>69.2</v>
      </c>
      <c r="L64">
        <v>69.2</v>
      </c>
      <c r="M64">
        <v>55.05</v>
      </c>
      <c r="N64">
        <v>2.39</v>
      </c>
      <c r="O64">
        <v>3</v>
      </c>
      <c r="P64">
        <v>3</v>
      </c>
      <c r="Q64">
        <v>2.39</v>
      </c>
      <c r="R64">
        <v>0.25746019001739578</v>
      </c>
      <c r="S64">
        <v>0.2574959113210975</v>
      </c>
      <c r="T64">
        <v>0.2552301255230125</v>
      </c>
      <c r="U64">
        <v>0.73638431687408001</v>
      </c>
      <c r="V64">
        <v>0.73640523571352567</v>
      </c>
      <c r="W64">
        <v>0.73640523571352567</v>
      </c>
      <c r="X64">
        <v>0.73639826276704368</v>
      </c>
      <c r="Y64">
        <v>4.3430855896783582E-2</v>
      </c>
      <c r="Z64">
        <v>4.3352601156069363E-2</v>
      </c>
      <c r="AA64">
        <v>4.3352601156069363E-2</v>
      </c>
      <c r="AB64">
        <v>4.3378686069640772E-2</v>
      </c>
      <c r="AC64">
        <v>168.7</v>
      </c>
      <c r="AD64">
        <v>1.2565543071161041</v>
      </c>
      <c r="AE64">
        <v>124.23</v>
      </c>
      <c r="AF64">
        <v>1.256675749318801</v>
      </c>
      <c r="AG64">
        <v>5.3900000000000006</v>
      </c>
      <c r="AH64">
        <v>1.2552301255230121</v>
      </c>
    </row>
    <row r="65" spans="1:34" x14ac:dyDescent="0.35">
      <c r="A65" t="s">
        <v>39</v>
      </c>
      <c r="B65">
        <v>281034</v>
      </c>
      <c r="C65" t="s">
        <v>72</v>
      </c>
      <c r="D65" t="s">
        <v>751</v>
      </c>
      <c r="E65" t="s">
        <v>752</v>
      </c>
      <c r="F65">
        <v>17.510000000000002</v>
      </c>
      <c r="G65">
        <v>18.34</v>
      </c>
      <c r="H65">
        <v>18.34</v>
      </c>
      <c r="I65">
        <v>18.72</v>
      </c>
      <c r="J65">
        <v>13.17</v>
      </c>
      <c r="K65">
        <v>13.79</v>
      </c>
      <c r="L65">
        <v>13.79</v>
      </c>
      <c r="M65">
        <v>14.08</v>
      </c>
      <c r="N65">
        <v>0.37</v>
      </c>
      <c r="O65">
        <v>0.38</v>
      </c>
      <c r="P65">
        <v>0.38</v>
      </c>
      <c r="Q65">
        <v>0.39</v>
      </c>
      <c r="R65">
        <v>4.7401484865790877E-2</v>
      </c>
      <c r="S65">
        <v>4.7076689445709967E-2</v>
      </c>
      <c r="T65">
        <v>2.702702702702697E-2</v>
      </c>
      <c r="U65">
        <v>0.75214163335237005</v>
      </c>
      <c r="V65">
        <v>0.75190839694656486</v>
      </c>
      <c r="W65">
        <v>0.75190839694656486</v>
      </c>
      <c r="X65">
        <v>0.75198614241516648</v>
      </c>
      <c r="Y65">
        <v>2.8094153378891418E-2</v>
      </c>
      <c r="Z65">
        <v>2.7556200145032631E-2</v>
      </c>
      <c r="AA65">
        <v>2.7556200145032631E-2</v>
      </c>
      <c r="AB65">
        <v>2.7735517889652232E-2</v>
      </c>
      <c r="AC65">
        <v>35.85</v>
      </c>
      <c r="AD65">
        <v>0.91506410256410287</v>
      </c>
      <c r="AE65">
        <v>26.96</v>
      </c>
      <c r="AF65">
        <v>0.91477272727272729</v>
      </c>
      <c r="AG65">
        <v>0.75</v>
      </c>
      <c r="AH65">
        <v>0.92307692307692291</v>
      </c>
    </row>
    <row r="66" spans="1:34" x14ac:dyDescent="0.35">
      <c r="A66" t="s">
        <v>39</v>
      </c>
      <c r="B66">
        <v>281035</v>
      </c>
      <c r="C66" t="s">
        <v>72</v>
      </c>
      <c r="D66" t="s">
        <v>767</v>
      </c>
      <c r="E66" t="s">
        <v>752</v>
      </c>
      <c r="F66">
        <v>31.62</v>
      </c>
      <c r="G66">
        <v>32.08</v>
      </c>
      <c r="H66">
        <v>32.08</v>
      </c>
      <c r="I66">
        <v>32.4</v>
      </c>
      <c r="J66">
        <v>23.76</v>
      </c>
      <c r="K66">
        <v>24.11</v>
      </c>
      <c r="L66">
        <v>24.11</v>
      </c>
      <c r="M66">
        <v>24.35</v>
      </c>
      <c r="N66">
        <v>0.92</v>
      </c>
      <c r="O66">
        <v>0.94</v>
      </c>
      <c r="P66">
        <v>0.94</v>
      </c>
      <c r="Q66">
        <v>0.95</v>
      </c>
      <c r="R66">
        <v>1.4547754585705119E-2</v>
      </c>
      <c r="S66">
        <v>1.473063973063971E-2</v>
      </c>
      <c r="T66">
        <v>2.173913043478248E-2</v>
      </c>
      <c r="U66">
        <v>0.75142314990512338</v>
      </c>
      <c r="V66">
        <v>0.75155860349127179</v>
      </c>
      <c r="W66">
        <v>0.75155860349127179</v>
      </c>
      <c r="X66">
        <v>0.75151345229588895</v>
      </c>
      <c r="Y66">
        <v>3.8720538720538718E-2</v>
      </c>
      <c r="Z66">
        <v>3.8987971795935293E-2</v>
      </c>
      <c r="AA66">
        <v>3.8987971795935293E-2</v>
      </c>
      <c r="AB66">
        <v>3.8898827437469773E-2</v>
      </c>
      <c r="AC66">
        <v>63.7</v>
      </c>
      <c r="AD66">
        <v>0.96604938271604945</v>
      </c>
      <c r="AE66">
        <v>47.87</v>
      </c>
      <c r="AF66">
        <v>0.96591375770020549</v>
      </c>
      <c r="AG66">
        <v>1.86</v>
      </c>
      <c r="AH66">
        <v>0.95789473684210513</v>
      </c>
    </row>
    <row r="67" spans="1:34" x14ac:dyDescent="0.35">
      <c r="A67" t="s">
        <v>39</v>
      </c>
      <c r="B67">
        <v>281036</v>
      </c>
      <c r="C67" t="s">
        <v>72</v>
      </c>
      <c r="D67" t="s">
        <v>780</v>
      </c>
      <c r="E67" t="s">
        <v>752</v>
      </c>
      <c r="F67">
        <v>87.42</v>
      </c>
      <c r="G67">
        <v>87.83</v>
      </c>
      <c r="H67">
        <v>87.83</v>
      </c>
      <c r="I67">
        <v>87.42</v>
      </c>
      <c r="J67">
        <v>35.979999999999997</v>
      </c>
      <c r="K67">
        <v>36.15</v>
      </c>
      <c r="L67">
        <v>36.15</v>
      </c>
      <c r="M67">
        <v>35.979999999999997</v>
      </c>
      <c r="N67">
        <v>1.45</v>
      </c>
      <c r="O67">
        <v>1.46</v>
      </c>
      <c r="P67">
        <v>1.46</v>
      </c>
      <c r="Q67">
        <v>1.45</v>
      </c>
      <c r="R67">
        <v>4.6900022878060277E-3</v>
      </c>
      <c r="S67">
        <v>4.7248471372984824E-3</v>
      </c>
      <c r="T67">
        <v>6.8965517241379448E-3</v>
      </c>
      <c r="U67">
        <v>0.41157629832990161</v>
      </c>
      <c r="V67">
        <v>0.41159057269725607</v>
      </c>
      <c r="W67">
        <v>0.41159057269725607</v>
      </c>
      <c r="X67">
        <v>0.41158581457480459</v>
      </c>
      <c r="Y67">
        <v>4.0300166759310731E-2</v>
      </c>
      <c r="Z67">
        <v>4.0387275242047029E-2</v>
      </c>
      <c r="AA67">
        <v>4.0387275242047029E-2</v>
      </c>
      <c r="AB67">
        <v>4.0358239081134929E-2</v>
      </c>
      <c r="AC67">
        <v>175.25</v>
      </c>
      <c r="AD67">
        <v>1.004690002287806</v>
      </c>
      <c r="AE67">
        <v>72.13</v>
      </c>
      <c r="AF67">
        <v>1.004724847137298</v>
      </c>
      <c r="AG67">
        <v>2.91</v>
      </c>
      <c r="AH67">
        <v>1.0068965517241379</v>
      </c>
    </row>
    <row r="68" spans="1:34" x14ac:dyDescent="0.35">
      <c r="A68" t="s">
        <v>39</v>
      </c>
      <c r="B68">
        <v>307002</v>
      </c>
      <c r="C68" t="s">
        <v>72</v>
      </c>
      <c r="D68" t="s">
        <v>793</v>
      </c>
      <c r="E68" t="s">
        <v>215</v>
      </c>
      <c r="F68">
        <v>45.2</v>
      </c>
      <c r="G68">
        <v>22.69</v>
      </c>
      <c r="H68">
        <v>22.69</v>
      </c>
      <c r="I68">
        <v>67.8</v>
      </c>
      <c r="J68">
        <v>50.93</v>
      </c>
      <c r="K68">
        <v>25.56</v>
      </c>
      <c r="L68">
        <v>25.56</v>
      </c>
      <c r="M68">
        <v>76.39</v>
      </c>
      <c r="N68">
        <v>2.71</v>
      </c>
      <c r="O68">
        <v>1.36</v>
      </c>
      <c r="P68">
        <v>1.36</v>
      </c>
      <c r="Q68">
        <v>4.07</v>
      </c>
      <c r="R68">
        <v>-0.49800884955752212</v>
      </c>
      <c r="S68">
        <v>-0.4981346946789712</v>
      </c>
      <c r="T68">
        <v>-0.49815498154981541</v>
      </c>
      <c r="U68">
        <v>1.126769911504425</v>
      </c>
      <c r="V68">
        <v>1.126487439400617</v>
      </c>
      <c r="W68">
        <v>1.126487439400617</v>
      </c>
      <c r="X68">
        <v>1.1265815967685531</v>
      </c>
      <c r="Y68">
        <v>5.3210288631454938E-2</v>
      </c>
      <c r="Z68">
        <v>5.3208137715179973E-2</v>
      </c>
      <c r="AA68">
        <v>5.3208137715179973E-2</v>
      </c>
      <c r="AB68">
        <v>5.3208854687271628E-2</v>
      </c>
      <c r="AC68">
        <v>67.89</v>
      </c>
      <c r="AD68">
        <v>1.3274336283186641E-3</v>
      </c>
      <c r="AE68">
        <v>76.489999999999995</v>
      </c>
      <c r="AF68">
        <v>1.3090718680455189E-3</v>
      </c>
      <c r="AG68">
        <v>4.07</v>
      </c>
      <c r="AH68">
        <v>0</v>
      </c>
    </row>
    <row r="69" spans="1:34" x14ac:dyDescent="0.35">
      <c r="A69" t="s">
        <v>39</v>
      </c>
      <c r="B69">
        <v>307007</v>
      </c>
      <c r="C69" t="s">
        <v>72</v>
      </c>
      <c r="D69" t="s">
        <v>807</v>
      </c>
      <c r="E69" t="s">
        <v>215</v>
      </c>
      <c r="G69">
        <v>744.89</v>
      </c>
      <c r="I69">
        <v>949.2</v>
      </c>
      <c r="J69">
        <v>873.18</v>
      </c>
      <c r="K69">
        <v>625.71</v>
      </c>
      <c r="L69">
        <v>853.51</v>
      </c>
      <c r="M69">
        <v>797.33</v>
      </c>
      <c r="N69">
        <v>55.44</v>
      </c>
      <c r="O69">
        <v>39.729999999999997</v>
      </c>
      <c r="P69">
        <v>54.19</v>
      </c>
      <c r="Q69">
        <v>50.62</v>
      </c>
      <c r="S69">
        <v>-0.2834123548409262</v>
      </c>
      <c r="T69">
        <v>-0.28336940836940838</v>
      </c>
      <c r="V69">
        <v>0.84000322195223465</v>
      </c>
      <c r="X69">
        <v>0.84000322195223465</v>
      </c>
      <c r="Y69">
        <v>6.3492063492063489E-2</v>
      </c>
      <c r="Z69">
        <v>6.3495868693164551E-2</v>
      </c>
      <c r="AA69">
        <v>6.3490761678246299E-2</v>
      </c>
      <c r="AB69">
        <v>6.3492897954491437E-2</v>
      </c>
      <c r="AE69">
        <v>1498.89</v>
      </c>
      <c r="AF69">
        <v>0.87988662159958841</v>
      </c>
      <c r="AG69">
        <v>95.169999999999987</v>
      </c>
      <c r="AH69">
        <v>0.88008692216515194</v>
      </c>
    </row>
    <row r="70" spans="1:34" x14ac:dyDescent="0.35">
      <c r="A70" t="s">
        <v>39</v>
      </c>
      <c r="B70">
        <v>307022</v>
      </c>
      <c r="C70" t="s">
        <v>72</v>
      </c>
      <c r="D70" t="s">
        <v>826</v>
      </c>
      <c r="E70" t="s">
        <v>215</v>
      </c>
      <c r="F70">
        <v>5.36</v>
      </c>
      <c r="G70">
        <v>5.37</v>
      </c>
      <c r="H70">
        <v>6.71</v>
      </c>
      <c r="I70">
        <v>4.0199999999999996</v>
      </c>
      <c r="J70">
        <v>119.12</v>
      </c>
      <c r="K70">
        <v>119.33</v>
      </c>
      <c r="L70">
        <v>149.1</v>
      </c>
      <c r="M70">
        <v>89.3</v>
      </c>
      <c r="N70">
        <v>8.65</v>
      </c>
      <c r="O70">
        <v>8.67</v>
      </c>
      <c r="P70">
        <v>10.83</v>
      </c>
      <c r="Q70">
        <v>6.49</v>
      </c>
      <c r="R70">
        <v>1.8656716417910779E-3</v>
      </c>
      <c r="S70">
        <v>1.762928139690922E-3</v>
      </c>
      <c r="T70">
        <v>2.3121387283235868E-3</v>
      </c>
      <c r="U70">
        <v>22.223880597014929</v>
      </c>
      <c r="V70">
        <v>22.221601489757909</v>
      </c>
      <c r="W70">
        <v>22.22056631892697</v>
      </c>
      <c r="X70">
        <v>22.222016135233272</v>
      </c>
      <c r="Y70">
        <v>7.2615849563465409E-2</v>
      </c>
      <c r="Z70">
        <v>7.2655660772647276E-2</v>
      </c>
      <c r="AA70">
        <v>7.2635814889336014E-2</v>
      </c>
      <c r="AB70">
        <v>7.2635775075149567E-2</v>
      </c>
      <c r="AC70">
        <v>10.73</v>
      </c>
      <c r="AD70">
        <v>1.669154228855722</v>
      </c>
      <c r="AE70">
        <v>238.45</v>
      </c>
      <c r="AF70">
        <v>1.6702127659574471</v>
      </c>
      <c r="AG70">
        <v>17.32</v>
      </c>
      <c r="AH70">
        <v>1.668721109399075</v>
      </c>
    </row>
    <row r="71" spans="1:34" x14ac:dyDescent="0.35">
      <c r="A71" t="s">
        <v>39</v>
      </c>
      <c r="B71">
        <v>307023</v>
      </c>
      <c r="C71" t="s">
        <v>72</v>
      </c>
      <c r="D71" t="s">
        <v>842</v>
      </c>
      <c r="E71" t="s">
        <v>215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AC71">
        <v>0</v>
      </c>
      <c r="AE71">
        <v>0</v>
      </c>
      <c r="AG71">
        <v>0</v>
      </c>
    </row>
    <row r="72" spans="1:34" x14ac:dyDescent="0.35">
      <c r="A72" t="s">
        <v>39</v>
      </c>
      <c r="B72">
        <v>756866</v>
      </c>
      <c r="C72" t="s">
        <v>72</v>
      </c>
      <c r="D72" t="s">
        <v>847</v>
      </c>
      <c r="E72" t="s">
        <v>215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AC72">
        <v>0</v>
      </c>
      <c r="AE72">
        <v>0</v>
      </c>
      <c r="AG72">
        <v>0</v>
      </c>
    </row>
    <row r="73" spans="1:34" x14ac:dyDescent="0.35">
      <c r="A73" t="s">
        <v>39</v>
      </c>
      <c r="B73">
        <v>340953</v>
      </c>
      <c r="C73" t="s">
        <v>72</v>
      </c>
      <c r="D73" t="s">
        <v>850</v>
      </c>
      <c r="E73" t="s">
        <v>281</v>
      </c>
      <c r="F73">
        <v>50.31</v>
      </c>
      <c r="G73">
        <v>43.55</v>
      </c>
      <c r="H73">
        <v>43.55</v>
      </c>
      <c r="I73">
        <v>43.01</v>
      </c>
      <c r="J73">
        <v>102.73</v>
      </c>
      <c r="K73">
        <v>88.91</v>
      </c>
      <c r="L73">
        <v>88.91</v>
      </c>
      <c r="M73">
        <v>87.81</v>
      </c>
      <c r="N73">
        <v>0.8</v>
      </c>
      <c r="O73">
        <v>0.69</v>
      </c>
      <c r="P73">
        <v>0.69</v>
      </c>
      <c r="Q73">
        <v>0.68</v>
      </c>
      <c r="R73">
        <v>-0.1343669250645996</v>
      </c>
      <c r="S73">
        <v>-0.13452740192738261</v>
      </c>
      <c r="T73">
        <v>-0.13750000000000009</v>
      </c>
      <c r="U73">
        <v>2.0419399721725302</v>
      </c>
      <c r="V73">
        <v>2.0415614236509758</v>
      </c>
      <c r="W73">
        <v>2.0415614236509758</v>
      </c>
      <c r="X73">
        <v>2.0416876064914939</v>
      </c>
      <c r="Y73">
        <v>7.7874038742334279E-3</v>
      </c>
      <c r="Z73">
        <v>7.7606568439995494E-3</v>
      </c>
      <c r="AA73">
        <v>7.7606568439995494E-3</v>
      </c>
      <c r="AB73">
        <v>7.7695725207441758E-3</v>
      </c>
      <c r="AC73">
        <v>93.86</v>
      </c>
      <c r="AD73">
        <v>1.1822831899558239</v>
      </c>
      <c r="AE73">
        <v>191.64</v>
      </c>
      <c r="AF73">
        <v>1.1824393577041341</v>
      </c>
      <c r="AG73">
        <v>1.49</v>
      </c>
      <c r="AH73">
        <v>1.1911764705882351</v>
      </c>
    </row>
    <row r="74" spans="1:34" x14ac:dyDescent="0.35">
      <c r="A74" t="s">
        <v>39</v>
      </c>
      <c r="B74">
        <v>340954</v>
      </c>
      <c r="C74" t="s">
        <v>72</v>
      </c>
      <c r="D74" t="s">
        <v>866</v>
      </c>
      <c r="E74" t="s">
        <v>281</v>
      </c>
      <c r="F74">
        <v>38.35</v>
      </c>
      <c r="G74">
        <v>38.39</v>
      </c>
      <c r="H74">
        <v>38.39</v>
      </c>
      <c r="I74">
        <v>28.65</v>
      </c>
      <c r="J74">
        <v>69.09</v>
      </c>
      <c r="K74">
        <v>69.17</v>
      </c>
      <c r="L74">
        <v>69.17</v>
      </c>
      <c r="M74">
        <v>51.61</v>
      </c>
      <c r="N74">
        <v>0.41</v>
      </c>
      <c r="O74">
        <v>0.41</v>
      </c>
      <c r="P74">
        <v>0.41</v>
      </c>
      <c r="Q74">
        <v>0.31</v>
      </c>
      <c r="R74">
        <v>1.043024771838263E-3</v>
      </c>
      <c r="S74">
        <v>1.1579099724996491E-3</v>
      </c>
      <c r="T74">
        <v>0</v>
      </c>
      <c r="U74">
        <v>1.801564537157758</v>
      </c>
      <c r="V74">
        <v>1.8017712946079709</v>
      </c>
      <c r="W74">
        <v>1.8017712946079709</v>
      </c>
      <c r="X74">
        <v>1.8017023754579</v>
      </c>
      <c r="Y74">
        <v>5.934288609060645E-3</v>
      </c>
      <c r="Z74">
        <v>5.9274251843284657E-3</v>
      </c>
      <c r="AA74">
        <v>5.9274251843284657E-3</v>
      </c>
      <c r="AB74">
        <v>5.9297129925725252E-3</v>
      </c>
      <c r="AC74">
        <v>76.740000000000009</v>
      </c>
      <c r="AD74">
        <v>1.678534031413613</v>
      </c>
      <c r="AE74">
        <v>138.26</v>
      </c>
      <c r="AF74">
        <v>1.678938190273203</v>
      </c>
      <c r="AG74">
        <v>0.82</v>
      </c>
      <c r="AH74">
        <v>1.645161290322581</v>
      </c>
    </row>
    <row r="75" spans="1:34" x14ac:dyDescent="0.35">
      <c r="A75" t="s">
        <v>39</v>
      </c>
      <c r="B75">
        <v>384654</v>
      </c>
      <c r="C75" t="s">
        <v>72</v>
      </c>
      <c r="D75" t="s">
        <v>879</v>
      </c>
      <c r="E75" t="s">
        <v>718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AC75">
        <v>0</v>
      </c>
      <c r="AE75">
        <v>0</v>
      </c>
      <c r="AG75">
        <v>0</v>
      </c>
    </row>
    <row r="76" spans="1:34" x14ac:dyDescent="0.35">
      <c r="A76" t="s">
        <v>39</v>
      </c>
      <c r="B76">
        <v>399217</v>
      </c>
      <c r="C76" t="s">
        <v>72</v>
      </c>
      <c r="D76" t="s">
        <v>881</v>
      </c>
      <c r="E76" t="s">
        <v>215</v>
      </c>
      <c r="F76">
        <v>8</v>
      </c>
      <c r="G76">
        <v>8</v>
      </c>
      <c r="H76">
        <v>8</v>
      </c>
      <c r="I76">
        <v>8</v>
      </c>
      <c r="J76">
        <v>22.61</v>
      </c>
      <c r="K76">
        <v>22.61</v>
      </c>
      <c r="L76">
        <v>22.61</v>
      </c>
      <c r="M76">
        <v>22.61</v>
      </c>
      <c r="N76">
        <v>0.8</v>
      </c>
      <c r="O76">
        <v>0.8</v>
      </c>
      <c r="P76">
        <v>0.8</v>
      </c>
      <c r="Q76">
        <v>0.8</v>
      </c>
      <c r="R76">
        <v>0</v>
      </c>
      <c r="S76">
        <v>0</v>
      </c>
      <c r="T76">
        <v>0</v>
      </c>
      <c r="U76">
        <v>2.8262499999999999</v>
      </c>
      <c r="V76">
        <v>2.8262499999999999</v>
      </c>
      <c r="W76">
        <v>2.8262499999999999</v>
      </c>
      <c r="X76">
        <v>2.8262499999999999</v>
      </c>
      <c r="Y76">
        <v>3.5382574082264487E-2</v>
      </c>
      <c r="Z76">
        <v>3.5382574082264487E-2</v>
      </c>
      <c r="AA76">
        <v>3.5382574082264487E-2</v>
      </c>
      <c r="AB76">
        <v>3.5382574082264487E-2</v>
      </c>
      <c r="AC76">
        <v>16</v>
      </c>
      <c r="AD76">
        <v>1</v>
      </c>
      <c r="AE76">
        <v>45.22</v>
      </c>
      <c r="AF76">
        <v>1</v>
      </c>
      <c r="AG76">
        <v>1.6</v>
      </c>
      <c r="AH76">
        <v>1</v>
      </c>
    </row>
    <row r="77" spans="1:34" x14ac:dyDescent="0.35">
      <c r="A77" t="s">
        <v>39</v>
      </c>
      <c r="B77">
        <v>481639</v>
      </c>
      <c r="C77" t="s">
        <v>72</v>
      </c>
      <c r="D77" t="s">
        <v>888</v>
      </c>
      <c r="E77" t="s">
        <v>215</v>
      </c>
      <c r="F77">
        <v>22.37</v>
      </c>
      <c r="G77">
        <v>67.569999999999993</v>
      </c>
      <c r="H77">
        <v>44.97</v>
      </c>
      <c r="I77">
        <v>67.8</v>
      </c>
      <c r="J77">
        <v>24.01</v>
      </c>
      <c r="K77">
        <v>72.52</v>
      </c>
      <c r="L77">
        <v>48.27</v>
      </c>
      <c r="M77">
        <v>72.77</v>
      </c>
      <c r="N77">
        <v>1.34</v>
      </c>
      <c r="O77">
        <v>4.05</v>
      </c>
      <c r="P77">
        <v>2.7</v>
      </c>
      <c r="Q77">
        <v>4.07</v>
      </c>
      <c r="R77">
        <v>2.0205632543585148</v>
      </c>
      <c r="S77">
        <v>2.0204081632653059</v>
      </c>
      <c r="T77">
        <v>2.022388059701492</v>
      </c>
      <c r="U77">
        <v>1.0733124720607961</v>
      </c>
      <c r="V77">
        <v>1.073257362734942</v>
      </c>
      <c r="W77">
        <v>1.0733822548365579</v>
      </c>
      <c r="X77">
        <v>1.0733173632107651</v>
      </c>
      <c r="Y77">
        <v>5.581007913369429E-2</v>
      </c>
      <c r="Z77">
        <v>5.5846662989520131E-2</v>
      </c>
      <c r="AA77">
        <v>5.593536357986327E-2</v>
      </c>
      <c r="AB77">
        <v>5.5864035234359233E-2</v>
      </c>
      <c r="AC77">
        <v>89.94</v>
      </c>
      <c r="AD77">
        <v>0.32654867256637182</v>
      </c>
      <c r="AE77">
        <v>96.53</v>
      </c>
      <c r="AF77">
        <v>0.32650817644633778</v>
      </c>
      <c r="AG77">
        <v>5.39</v>
      </c>
      <c r="AH77">
        <v>0.32432432432432412</v>
      </c>
    </row>
    <row r="78" spans="1:34" x14ac:dyDescent="0.35">
      <c r="A78" t="s">
        <v>39</v>
      </c>
      <c r="B78">
        <v>508440</v>
      </c>
      <c r="C78" t="s">
        <v>72</v>
      </c>
      <c r="D78" t="s">
        <v>905</v>
      </c>
      <c r="E78" t="s">
        <v>215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AC78">
        <v>0</v>
      </c>
      <c r="AE78">
        <v>0</v>
      </c>
      <c r="AG78">
        <v>0</v>
      </c>
    </row>
    <row r="79" spans="1:34" x14ac:dyDescent="0.35">
      <c r="A79" t="s">
        <v>39</v>
      </c>
      <c r="B79">
        <v>535022</v>
      </c>
      <c r="C79" t="s">
        <v>72</v>
      </c>
      <c r="D79" t="s">
        <v>907</v>
      </c>
      <c r="E79" t="s">
        <v>215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AC79">
        <v>0</v>
      </c>
      <c r="AE79">
        <v>0</v>
      </c>
      <c r="AG79">
        <v>0</v>
      </c>
    </row>
    <row r="80" spans="1:34" x14ac:dyDescent="0.35">
      <c r="A80" t="s">
        <v>39</v>
      </c>
      <c r="B80">
        <v>535031</v>
      </c>
      <c r="C80" t="s">
        <v>72</v>
      </c>
      <c r="D80" t="s">
        <v>907</v>
      </c>
      <c r="E80" t="s">
        <v>215</v>
      </c>
      <c r="F80">
        <v>270.89999999999998</v>
      </c>
      <c r="G80">
        <v>315.93</v>
      </c>
      <c r="H80">
        <v>451.53</v>
      </c>
      <c r="I80">
        <v>158.19999999999999</v>
      </c>
      <c r="J80">
        <v>290.77</v>
      </c>
      <c r="K80">
        <v>339.09</v>
      </c>
      <c r="L80">
        <v>484.64</v>
      </c>
      <c r="M80">
        <v>169.8</v>
      </c>
      <c r="N80">
        <v>16.25</v>
      </c>
      <c r="O80">
        <v>18.96</v>
      </c>
      <c r="P80">
        <v>27.09</v>
      </c>
      <c r="Q80">
        <v>9.49</v>
      </c>
      <c r="R80">
        <v>0.1662236987818384</v>
      </c>
      <c r="S80">
        <v>0.16617945455170749</v>
      </c>
      <c r="T80">
        <v>0.16676923076923081</v>
      </c>
      <c r="U80">
        <v>1.0733480989294939</v>
      </c>
      <c r="V80">
        <v>1.073307378216694</v>
      </c>
      <c r="W80">
        <v>1.0733284610103431</v>
      </c>
      <c r="X80">
        <v>1.0733279793855099</v>
      </c>
      <c r="Y80">
        <v>5.5886095539429803E-2</v>
      </c>
      <c r="Z80">
        <v>5.5914359019729278E-2</v>
      </c>
      <c r="AA80">
        <v>5.5897160779135029E-2</v>
      </c>
      <c r="AB80">
        <v>5.5899205112764701E-2</v>
      </c>
      <c r="AC80">
        <v>586.82999999999993</v>
      </c>
      <c r="AD80">
        <v>2.7094184576485461</v>
      </c>
      <c r="AE80">
        <v>629.8599999999999</v>
      </c>
      <c r="AF80">
        <v>2.7094228504122491</v>
      </c>
      <c r="AG80">
        <v>35.21</v>
      </c>
      <c r="AH80">
        <v>2.710221285563752</v>
      </c>
    </row>
    <row r="81" spans="1:34" x14ac:dyDescent="0.35">
      <c r="A81" t="s">
        <v>39</v>
      </c>
      <c r="B81">
        <v>557435</v>
      </c>
      <c r="C81" t="s">
        <v>72</v>
      </c>
      <c r="D81" t="s">
        <v>929</v>
      </c>
      <c r="E81" t="s">
        <v>215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AC81">
        <v>0</v>
      </c>
      <c r="AE81">
        <v>0</v>
      </c>
      <c r="AG81">
        <v>0</v>
      </c>
    </row>
    <row r="82" spans="1:34" x14ac:dyDescent="0.35">
      <c r="A82" t="s">
        <v>39</v>
      </c>
      <c r="B82">
        <v>557442</v>
      </c>
      <c r="C82" t="s">
        <v>72</v>
      </c>
      <c r="D82" t="s">
        <v>932</v>
      </c>
      <c r="E82" t="s">
        <v>215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AC82">
        <v>0</v>
      </c>
      <c r="AE82">
        <v>0</v>
      </c>
      <c r="AG82">
        <v>0</v>
      </c>
    </row>
    <row r="83" spans="1:34" x14ac:dyDescent="0.35">
      <c r="A83" t="s">
        <v>39</v>
      </c>
      <c r="B83">
        <v>573186</v>
      </c>
      <c r="C83" t="s">
        <v>72</v>
      </c>
      <c r="D83" t="s">
        <v>934</v>
      </c>
      <c r="E83" t="s">
        <v>74</v>
      </c>
      <c r="F83">
        <v>5.86</v>
      </c>
      <c r="G83">
        <v>5.86</v>
      </c>
      <c r="H83">
        <v>5.86</v>
      </c>
      <c r="I83">
        <v>0</v>
      </c>
      <c r="J83">
        <v>15.24</v>
      </c>
      <c r="K83">
        <v>15.24</v>
      </c>
      <c r="L83">
        <v>15.24</v>
      </c>
      <c r="M83">
        <v>0</v>
      </c>
      <c r="N83">
        <v>0.9</v>
      </c>
      <c r="O83">
        <v>0.9</v>
      </c>
      <c r="P83">
        <v>0.9</v>
      </c>
      <c r="Q83">
        <v>0</v>
      </c>
      <c r="R83">
        <v>0</v>
      </c>
      <c r="S83">
        <v>0</v>
      </c>
      <c r="T83">
        <v>0</v>
      </c>
      <c r="U83">
        <v>2.6006825938566549</v>
      </c>
      <c r="V83">
        <v>2.6006825938566549</v>
      </c>
      <c r="W83">
        <v>2.6006825938566549</v>
      </c>
      <c r="X83">
        <v>2.6006825938566549</v>
      </c>
      <c r="Y83">
        <v>5.905511811023622E-2</v>
      </c>
      <c r="Z83">
        <v>5.905511811023622E-2</v>
      </c>
      <c r="AA83">
        <v>5.905511811023622E-2</v>
      </c>
      <c r="AB83">
        <v>5.905511811023622E-2</v>
      </c>
      <c r="AC83">
        <v>11.72</v>
      </c>
      <c r="AE83">
        <v>30.48</v>
      </c>
      <c r="AG83">
        <v>1.8</v>
      </c>
    </row>
    <row r="84" spans="1:34" x14ac:dyDescent="0.35">
      <c r="A84" t="s">
        <v>39</v>
      </c>
      <c r="B84">
        <v>583229</v>
      </c>
      <c r="C84" t="s">
        <v>72</v>
      </c>
      <c r="D84" t="s">
        <v>942</v>
      </c>
      <c r="E84" t="s">
        <v>943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AC84">
        <v>0</v>
      </c>
      <c r="AE84">
        <v>0</v>
      </c>
      <c r="AG84">
        <v>0</v>
      </c>
    </row>
    <row r="85" spans="1:34" x14ac:dyDescent="0.35">
      <c r="A85" t="s">
        <v>39</v>
      </c>
      <c r="B85">
        <v>586844</v>
      </c>
      <c r="C85" t="s">
        <v>72</v>
      </c>
      <c r="D85" t="s">
        <v>945</v>
      </c>
      <c r="E85" t="s">
        <v>74</v>
      </c>
      <c r="F85">
        <v>29.5</v>
      </c>
      <c r="G85">
        <v>29.33</v>
      </c>
      <c r="H85">
        <v>29.33</v>
      </c>
      <c r="I85">
        <v>29.5</v>
      </c>
      <c r="J85">
        <v>79.05</v>
      </c>
      <c r="K85">
        <v>78.599999999999994</v>
      </c>
      <c r="L85">
        <v>78.599999999999994</v>
      </c>
      <c r="M85">
        <v>79.05</v>
      </c>
      <c r="N85">
        <v>3.54</v>
      </c>
      <c r="O85">
        <v>3.52</v>
      </c>
      <c r="P85">
        <v>3.52</v>
      </c>
      <c r="Q85">
        <v>3.54</v>
      </c>
      <c r="R85">
        <v>-5.7627118644067998E-3</v>
      </c>
      <c r="S85">
        <v>-5.6925996204933993E-3</v>
      </c>
      <c r="T85">
        <v>-5.6497175141243527E-3</v>
      </c>
      <c r="U85">
        <v>2.679661016949153</v>
      </c>
      <c r="V85">
        <v>2.6798499829526081</v>
      </c>
      <c r="W85">
        <v>2.6798499829526081</v>
      </c>
      <c r="X85">
        <v>2.6797869942847901</v>
      </c>
      <c r="Y85">
        <v>4.4781783681214417E-2</v>
      </c>
      <c r="Z85">
        <v>4.4783715012722651E-2</v>
      </c>
      <c r="AA85">
        <v>4.4783715012722651E-2</v>
      </c>
      <c r="AB85">
        <v>4.4783071235553237E-2</v>
      </c>
      <c r="AC85">
        <v>58.83</v>
      </c>
      <c r="AD85">
        <v>0.9942372881355932</v>
      </c>
      <c r="AE85">
        <v>157.65</v>
      </c>
      <c r="AF85">
        <v>0.99430740037950649</v>
      </c>
      <c r="AG85">
        <v>7.06</v>
      </c>
      <c r="AH85">
        <v>0.99435028248587587</v>
      </c>
    </row>
    <row r="86" spans="1:34" x14ac:dyDescent="0.35">
      <c r="A86" t="s">
        <v>39</v>
      </c>
      <c r="B86">
        <v>586869</v>
      </c>
      <c r="C86" t="s">
        <v>72</v>
      </c>
      <c r="D86" t="s">
        <v>957</v>
      </c>
      <c r="E86" t="s">
        <v>943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AC86">
        <v>0</v>
      </c>
      <c r="AE86">
        <v>0</v>
      </c>
      <c r="AG86">
        <v>0</v>
      </c>
    </row>
    <row r="87" spans="1:34" x14ac:dyDescent="0.35">
      <c r="A87" t="s">
        <v>39</v>
      </c>
      <c r="B87">
        <v>587585</v>
      </c>
      <c r="C87" t="s">
        <v>72</v>
      </c>
      <c r="D87" t="s">
        <v>959</v>
      </c>
      <c r="E87" t="s">
        <v>74</v>
      </c>
      <c r="F87">
        <v>39.33</v>
      </c>
      <c r="G87">
        <v>39.22</v>
      </c>
      <c r="H87">
        <v>39.22</v>
      </c>
      <c r="I87">
        <v>39.33</v>
      </c>
      <c r="J87">
        <v>49.29</v>
      </c>
      <c r="K87">
        <v>49.16</v>
      </c>
      <c r="L87">
        <v>49.16</v>
      </c>
      <c r="M87">
        <v>49.29</v>
      </c>
      <c r="N87">
        <v>2.36</v>
      </c>
      <c r="O87">
        <v>2.35</v>
      </c>
      <c r="P87">
        <v>2.35</v>
      </c>
      <c r="Q87">
        <v>2.36</v>
      </c>
      <c r="R87">
        <v>-2.7968471904398222E-3</v>
      </c>
      <c r="S87">
        <v>-2.6374518157842308E-3</v>
      </c>
      <c r="T87">
        <v>-4.237288135593098E-3</v>
      </c>
      <c r="U87">
        <v>1.2532418001525549</v>
      </c>
      <c r="V87">
        <v>1.25344212136665</v>
      </c>
      <c r="W87">
        <v>1.25344212136665</v>
      </c>
      <c r="X87">
        <v>1.253375347628618</v>
      </c>
      <c r="Y87">
        <v>4.7879894501927367E-2</v>
      </c>
      <c r="Z87">
        <v>4.7803091944670473E-2</v>
      </c>
      <c r="AA87">
        <v>4.7803091944670473E-2</v>
      </c>
      <c r="AB87">
        <v>4.7828692797089442E-2</v>
      </c>
      <c r="AC87">
        <v>78.55</v>
      </c>
      <c r="AD87">
        <v>0.99720315280956018</v>
      </c>
      <c r="AE87">
        <v>98.449999999999989</v>
      </c>
      <c r="AF87">
        <v>0.99736254818421566</v>
      </c>
      <c r="AG87">
        <v>4.71</v>
      </c>
      <c r="AH87">
        <v>0.99576271186440679</v>
      </c>
    </row>
    <row r="88" spans="1:34" x14ac:dyDescent="0.35">
      <c r="A88" t="s">
        <v>39</v>
      </c>
      <c r="B88">
        <v>633477</v>
      </c>
      <c r="C88" t="s">
        <v>72</v>
      </c>
      <c r="D88" t="s">
        <v>970</v>
      </c>
      <c r="E88" t="s">
        <v>215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AC88">
        <v>0</v>
      </c>
      <c r="AE88">
        <v>0</v>
      </c>
      <c r="AG88">
        <v>0</v>
      </c>
    </row>
    <row r="89" spans="1:34" x14ac:dyDescent="0.35">
      <c r="A89" t="s">
        <v>39</v>
      </c>
      <c r="B89">
        <v>724228</v>
      </c>
      <c r="C89" t="s">
        <v>72</v>
      </c>
      <c r="D89" t="s">
        <v>976</v>
      </c>
      <c r="E89" t="s">
        <v>215</v>
      </c>
      <c r="F89">
        <v>16.73</v>
      </c>
      <c r="G89">
        <v>16.73</v>
      </c>
      <c r="H89">
        <v>32.729999999999997</v>
      </c>
      <c r="I89">
        <v>16</v>
      </c>
      <c r="J89">
        <v>61.01</v>
      </c>
      <c r="K89">
        <v>61.01</v>
      </c>
      <c r="L89">
        <v>119.36</v>
      </c>
      <c r="M89">
        <v>58.35</v>
      </c>
      <c r="N89">
        <v>1.45</v>
      </c>
      <c r="O89">
        <v>1.45</v>
      </c>
      <c r="P89">
        <v>2.84</v>
      </c>
      <c r="Q89">
        <v>1.39</v>
      </c>
      <c r="R89">
        <v>0</v>
      </c>
      <c r="S89">
        <v>0</v>
      </c>
      <c r="T89">
        <v>0</v>
      </c>
      <c r="U89">
        <v>3.646742378959952</v>
      </c>
      <c r="V89">
        <v>3.646742378959952</v>
      </c>
      <c r="W89">
        <v>3.6468072105102349</v>
      </c>
      <c r="X89">
        <v>3.646763989476713</v>
      </c>
      <c r="Y89">
        <v>2.3766595640059011E-2</v>
      </c>
      <c r="Z89">
        <v>2.3766595640059011E-2</v>
      </c>
      <c r="AA89">
        <v>2.3793565683646111E-2</v>
      </c>
      <c r="AB89">
        <v>2.3775585654588038E-2</v>
      </c>
      <c r="AC89">
        <v>33.46</v>
      </c>
      <c r="AD89">
        <v>1.0912500000000001</v>
      </c>
      <c r="AE89">
        <v>122.02</v>
      </c>
      <c r="AF89">
        <v>1.091173950299914</v>
      </c>
      <c r="AG89">
        <v>2.9</v>
      </c>
      <c r="AH89">
        <v>1.086330935251798</v>
      </c>
    </row>
    <row r="90" spans="1:34" x14ac:dyDescent="0.35">
      <c r="A90" t="s">
        <v>39</v>
      </c>
      <c r="B90">
        <v>724788</v>
      </c>
      <c r="C90" t="s">
        <v>72</v>
      </c>
      <c r="D90" t="s">
        <v>989</v>
      </c>
      <c r="E90" t="s">
        <v>215</v>
      </c>
      <c r="F90">
        <v>248.6</v>
      </c>
      <c r="G90">
        <v>768.19</v>
      </c>
      <c r="H90">
        <v>722.99</v>
      </c>
      <c r="I90">
        <v>813.6</v>
      </c>
      <c r="J90">
        <v>273.45999999999998</v>
      </c>
      <c r="K90">
        <v>845.01</v>
      </c>
      <c r="L90">
        <v>795.29</v>
      </c>
      <c r="M90">
        <v>894.96</v>
      </c>
      <c r="N90">
        <v>14.92</v>
      </c>
      <c r="O90">
        <v>46.09</v>
      </c>
      <c r="P90">
        <v>43.38</v>
      </c>
      <c r="Q90">
        <v>48.82</v>
      </c>
      <c r="R90">
        <v>2.0900643604183431</v>
      </c>
      <c r="S90">
        <v>2.0900680172602941</v>
      </c>
      <c r="T90">
        <v>2.0891420911528149</v>
      </c>
      <c r="U90">
        <v>1.1000000000000001</v>
      </c>
      <c r="V90">
        <v>1.1000013017612831</v>
      </c>
      <c r="W90">
        <v>1.1000013831449951</v>
      </c>
      <c r="X90">
        <v>1.100000894968759</v>
      </c>
      <c r="Y90">
        <v>5.4560081913259707E-2</v>
      </c>
      <c r="Z90">
        <v>5.4543733210257871E-2</v>
      </c>
      <c r="AA90">
        <v>5.4546140401614512E-2</v>
      </c>
      <c r="AB90">
        <v>5.454998517504403E-2</v>
      </c>
      <c r="AC90">
        <v>1016.79</v>
      </c>
      <c r="AD90">
        <v>0.24974188790560481</v>
      </c>
      <c r="AE90">
        <v>1118.47</v>
      </c>
      <c r="AF90">
        <v>0.24974300527397861</v>
      </c>
      <c r="AG90">
        <v>61.010000000000012</v>
      </c>
      <c r="AH90">
        <v>0.24969274887341261</v>
      </c>
    </row>
    <row r="91" spans="1:34" x14ac:dyDescent="0.35">
      <c r="A91" t="s">
        <v>39</v>
      </c>
      <c r="B91">
        <v>736193</v>
      </c>
      <c r="C91" t="s">
        <v>72</v>
      </c>
      <c r="D91" t="s">
        <v>1011</v>
      </c>
      <c r="E91" t="s">
        <v>1012</v>
      </c>
      <c r="F91">
        <v>490.68</v>
      </c>
      <c r="G91">
        <v>656.84</v>
      </c>
      <c r="H91">
        <v>656.84</v>
      </c>
      <c r="I91">
        <v>408.34</v>
      </c>
      <c r="J91">
        <v>165.64</v>
      </c>
      <c r="K91">
        <v>221.73</v>
      </c>
      <c r="L91">
        <v>221.73</v>
      </c>
      <c r="M91">
        <v>137.84</v>
      </c>
      <c r="N91">
        <v>3.26</v>
      </c>
      <c r="O91">
        <v>4.3600000000000003</v>
      </c>
      <c r="P91">
        <v>4.3600000000000003</v>
      </c>
      <c r="Q91">
        <v>2.71</v>
      </c>
      <c r="R91">
        <v>0.33863210238852209</v>
      </c>
      <c r="S91">
        <v>0.33862593576430822</v>
      </c>
      <c r="T91">
        <v>0.33742331288343591</v>
      </c>
      <c r="U91">
        <v>0.33757234857748419</v>
      </c>
      <c r="V91">
        <v>0.33757079349613289</v>
      </c>
      <c r="W91">
        <v>0.33757079349613289</v>
      </c>
      <c r="X91">
        <v>0.33757131185658329</v>
      </c>
      <c r="Y91">
        <v>1.9681236416324559E-2</v>
      </c>
      <c r="Z91">
        <v>1.9663554773824019E-2</v>
      </c>
      <c r="AA91">
        <v>1.9663554773824019E-2</v>
      </c>
      <c r="AB91">
        <v>1.9669448654657529E-2</v>
      </c>
      <c r="AC91">
        <v>1147.52</v>
      </c>
      <c r="AD91">
        <v>1.8102071802909341</v>
      </c>
      <c r="AE91">
        <v>387.37</v>
      </c>
      <c r="AF91">
        <v>1.810287289611143</v>
      </c>
      <c r="AG91">
        <v>7.62</v>
      </c>
      <c r="AH91">
        <v>1.8118081180811809</v>
      </c>
    </row>
    <row r="92" spans="1:34" x14ac:dyDescent="0.35">
      <c r="A92" t="s">
        <v>39</v>
      </c>
      <c r="B92">
        <v>742118</v>
      </c>
      <c r="C92" t="s">
        <v>72</v>
      </c>
      <c r="D92" t="s">
        <v>1028</v>
      </c>
      <c r="E92" t="s">
        <v>1029</v>
      </c>
      <c r="J92">
        <v>792.43</v>
      </c>
      <c r="K92">
        <v>797.14</v>
      </c>
      <c r="L92">
        <v>797.14</v>
      </c>
      <c r="M92">
        <v>671.64</v>
      </c>
      <c r="N92">
        <v>126.66</v>
      </c>
      <c r="O92">
        <v>127.41</v>
      </c>
      <c r="P92">
        <v>127.41</v>
      </c>
      <c r="Q92">
        <v>107.35</v>
      </c>
      <c r="S92">
        <v>5.9437426649673331E-3</v>
      </c>
      <c r="T92">
        <v>5.9213642823305879E-3</v>
      </c>
      <c r="Y92">
        <v>0.15983746198402379</v>
      </c>
      <c r="Z92">
        <v>0.1598339062147176</v>
      </c>
      <c r="AA92">
        <v>0.1598339062147176</v>
      </c>
      <c r="AB92">
        <v>0.15983509147115299</v>
      </c>
      <c r="AE92">
        <v>1589.57</v>
      </c>
      <c r="AF92">
        <v>1.366699422309571</v>
      </c>
      <c r="AG92">
        <v>254.07</v>
      </c>
      <c r="AH92">
        <v>1.366744294364229</v>
      </c>
    </row>
    <row r="93" spans="1:34" x14ac:dyDescent="0.35">
      <c r="A93" t="s">
        <v>39</v>
      </c>
      <c r="B93">
        <v>742119</v>
      </c>
      <c r="C93" t="s">
        <v>72</v>
      </c>
      <c r="D93" t="s">
        <v>1048</v>
      </c>
      <c r="E93" t="s">
        <v>1029</v>
      </c>
      <c r="F93">
        <v>491.9</v>
      </c>
      <c r="G93">
        <v>491.39</v>
      </c>
      <c r="H93">
        <v>491.39</v>
      </c>
      <c r="I93">
        <v>411.17</v>
      </c>
      <c r="J93">
        <v>234.59</v>
      </c>
      <c r="K93">
        <v>234.35</v>
      </c>
      <c r="L93">
        <v>234.35</v>
      </c>
      <c r="M93">
        <v>196.09</v>
      </c>
      <c r="N93">
        <v>13.53</v>
      </c>
      <c r="O93">
        <v>13.51</v>
      </c>
      <c r="P93">
        <v>13.51</v>
      </c>
      <c r="Q93">
        <v>11.31</v>
      </c>
      <c r="R93">
        <v>-1.0367960967676559E-3</v>
      </c>
      <c r="S93">
        <v>-1.023061511573387E-3</v>
      </c>
      <c r="T93">
        <v>-1.4781966001478079E-3</v>
      </c>
      <c r="U93">
        <v>0.47690587517788169</v>
      </c>
      <c r="V93">
        <v>0.47691243208042489</v>
      </c>
      <c r="W93">
        <v>0.47691243208042489</v>
      </c>
      <c r="X93">
        <v>0.47691024644624391</v>
      </c>
      <c r="Y93">
        <v>5.7675092714949493E-2</v>
      </c>
      <c r="Z93">
        <v>5.7648815873693193E-2</v>
      </c>
      <c r="AA93">
        <v>5.7648815873693193E-2</v>
      </c>
      <c r="AB93">
        <v>5.7657574820778622E-2</v>
      </c>
      <c r="AC93">
        <v>983.29</v>
      </c>
      <c r="AD93">
        <v>1.391443928302162</v>
      </c>
      <c r="AE93">
        <v>468.94</v>
      </c>
      <c r="AF93">
        <v>1.3914529042786481</v>
      </c>
      <c r="AG93">
        <v>27.04</v>
      </c>
      <c r="AH93">
        <v>1.3908045977011489</v>
      </c>
    </row>
    <row r="94" spans="1:34" x14ac:dyDescent="0.35">
      <c r="A94" t="s">
        <v>39</v>
      </c>
      <c r="B94">
        <v>509684</v>
      </c>
      <c r="C94" t="s">
        <v>72</v>
      </c>
      <c r="D94" t="s">
        <v>1064</v>
      </c>
      <c r="E94" t="s">
        <v>568</v>
      </c>
      <c r="F94">
        <v>88.27</v>
      </c>
      <c r="G94">
        <v>116.1</v>
      </c>
      <c r="H94">
        <v>116.1</v>
      </c>
      <c r="I94">
        <v>90</v>
      </c>
      <c r="J94">
        <v>328.08</v>
      </c>
      <c r="K94">
        <v>431.5</v>
      </c>
      <c r="L94">
        <v>431.5</v>
      </c>
      <c r="M94">
        <v>334.51</v>
      </c>
      <c r="N94">
        <v>1.43</v>
      </c>
      <c r="O94">
        <v>1.88</v>
      </c>
      <c r="P94">
        <v>1.88</v>
      </c>
      <c r="Q94">
        <v>1.46</v>
      </c>
      <c r="R94">
        <v>0.31528265548884099</v>
      </c>
      <c r="S94">
        <v>0.31522799317239708</v>
      </c>
      <c r="T94">
        <v>0.31468531468531458</v>
      </c>
      <c r="U94">
        <v>3.7167780672935309</v>
      </c>
      <c r="V94">
        <v>3.7166236003445312</v>
      </c>
      <c r="W94">
        <v>3.7166236003445312</v>
      </c>
      <c r="X94">
        <v>3.7166750893275311</v>
      </c>
      <c r="Y94">
        <v>4.3586930017069014E-3</v>
      </c>
      <c r="Z94">
        <v>4.3568945538818077E-3</v>
      </c>
      <c r="AA94">
        <v>4.3568945538818077E-3</v>
      </c>
      <c r="AB94">
        <v>4.3574940364901719E-3</v>
      </c>
      <c r="AC94">
        <v>204.37</v>
      </c>
      <c r="AD94">
        <v>1.270777777777778</v>
      </c>
      <c r="AE94">
        <v>759.57999999999993</v>
      </c>
      <c r="AF94">
        <v>1.270724343068967</v>
      </c>
      <c r="AG94">
        <v>3.31</v>
      </c>
      <c r="AH94">
        <v>1.2671232876712331</v>
      </c>
    </row>
    <row r="95" spans="1:34" x14ac:dyDescent="0.35">
      <c r="A95" t="s">
        <v>39</v>
      </c>
      <c r="B95">
        <v>509685</v>
      </c>
      <c r="C95" t="s">
        <v>72</v>
      </c>
      <c r="D95" t="s">
        <v>1078</v>
      </c>
      <c r="E95" t="s">
        <v>568</v>
      </c>
      <c r="F95">
        <v>18</v>
      </c>
      <c r="G95">
        <v>17.48</v>
      </c>
      <c r="H95">
        <v>17.48</v>
      </c>
      <c r="I95">
        <v>27</v>
      </c>
      <c r="J95">
        <v>220.92</v>
      </c>
      <c r="K95">
        <v>214.47</v>
      </c>
      <c r="L95">
        <v>214.47</v>
      </c>
      <c r="M95">
        <v>331.37</v>
      </c>
      <c r="N95">
        <v>0.97</v>
      </c>
      <c r="O95">
        <v>0.94</v>
      </c>
      <c r="P95">
        <v>0.94</v>
      </c>
      <c r="Q95">
        <v>1.45</v>
      </c>
      <c r="R95">
        <v>-2.8888888888888849E-2</v>
      </c>
      <c r="S95">
        <v>-2.9196089082020541E-2</v>
      </c>
      <c r="T95">
        <v>-3.0927835051546389E-2</v>
      </c>
      <c r="U95">
        <v>12.27333333333333</v>
      </c>
      <c r="V95">
        <v>12.26945080091533</v>
      </c>
      <c r="W95">
        <v>12.26945080091533</v>
      </c>
      <c r="X95">
        <v>12.270744978388</v>
      </c>
      <c r="Y95">
        <v>4.3907296759007784E-3</v>
      </c>
      <c r="Z95">
        <v>4.3828973749242316E-3</v>
      </c>
      <c r="AA95">
        <v>4.3828973749242316E-3</v>
      </c>
      <c r="AB95">
        <v>4.3855081419164133E-3</v>
      </c>
      <c r="AC95">
        <v>35.479999999999997</v>
      </c>
      <c r="AD95">
        <v>0.31407407407407423</v>
      </c>
      <c r="AE95">
        <v>435.39</v>
      </c>
      <c r="AF95">
        <v>0.31390892355976702</v>
      </c>
      <c r="AG95">
        <v>1.91</v>
      </c>
      <c r="AH95">
        <v>0.3172413793103448</v>
      </c>
    </row>
    <row r="96" spans="1:34" x14ac:dyDescent="0.35">
      <c r="A96" t="s">
        <v>39</v>
      </c>
      <c r="B96">
        <v>509686</v>
      </c>
      <c r="C96" t="s">
        <v>72</v>
      </c>
      <c r="D96" t="s">
        <v>1088</v>
      </c>
      <c r="E96" t="s">
        <v>568</v>
      </c>
      <c r="F96">
        <v>40</v>
      </c>
      <c r="G96">
        <v>38.9</v>
      </c>
      <c r="H96">
        <v>38.9</v>
      </c>
      <c r="I96">
        <v>40</v>
      </c>
      <c r="J96">
        <v>171.78</v>
      </c>
      <c r="K96">
        <v>167.05</v>
      </c>
      <c r="L96">
        <v>167.05</v>
      </c>
      <c r="M96">
        <v>171.78</v>
      </c>
      <c r="N96">
        <v>0.71</v>
      </c>
      <c r="O96">
        <v>0.69</v>
      </c>
      <c r="P96">
        <v>0.69</v>
      </c>
      <c r="Q96">
        <v>0.71</v>
      </c>
      <c r="R96">
        <v>-2.750000000000008E-2</v>
      </c>
      <c r="S96">
        <v>-2.7535219466759742E-2</v>
      </c>
      <c r="T96">
        <v>-2.8169014084507119E-2</v>
      </c>
      <c r="U96">
        <v>4.2945000000000002</v>
      </c>
      <c r="V96">
        <v>4.2943444730077127</v>
      </c>
      <c r="W96">
        <v>4.2943444730077127</v>
      </c>
      <c r="X96">
        <v>4.2943963153384752</v>
      </c>
      <c r="Y96">
        <v>4.1331936197461869E-3</v>
      </c>
      <c r="Z96">
        <v>4.1304998503442084E-3</v>
      </c>
      <c r="AA96">
        <v>4.1304998503442084E-3</v>
      </c>
      <c r="AB96">
        <v>4.131397773478201E-3</v>
      </c>
      <c r="AC96">
        <v>78.900000000000006</v>
      </c>
      <c r="AD96">
        <v>0.97250000000000014</v>
      </c>
      <c r="AE96">
        <v>338.83</v>
      </c>
      <c r="AF96">
        <v>0.97246478053324048</v>
      </c>
      <c r="AG96">
        <v>1.4</v>
      </c>
      <c r="AH96">
        <v>0.971830985915493</v>
      </c>
    </row>
    <row r="97" spans="1:34" x14ac:dyDescent="0.35">
      <c r="A97" t="s">
        <v>39</v>
      </c>
      <c r="B97">
        <v>509687</v>
      </c>
      <c r="C97" t="s">
        <v>72</v>
      </c>
      <c r="D97" t="s">
        <v>1101</v>
      </c>
      <c r="E97" t="s">
        <v>568</v>
      </c>
      <c r="F97">
        <v>11.79</v>
      </c>
      <c r="G97">
        <v>7.94</v>
      </c>
      <c r="H97">
        <v>7.94</v>
      </c>
      <c r="I97">
        <v>12</v>
      </c>
      <c r="J97">
        <v>168.81</v>
      </c>
      <c r="K97">
        <v>113.66</v>
      </c>
      <c r="L97">
        <v>113.66</v>
      </c>
      <c r="M97">
        <v>171.78</v>
      </c>
      <c r="N97">
        <v>0.7</v>
      </c>
      <c r="O97">
        <v>0.47</v>
      </c>
      <c r="P97">
        <v>0.47</v>
      </c>
      <c r="Q97">
        <v>0.71</v>
      </c>
      <c r="R97">
        <v>-0.32654792196776922</v>
      </c>
      <c r="S97">
        <v>-0.32669865529293302</v>
      </c>
      <c r="T97">
        <v>-0.32857142857142851</v>
      </c>
      <c r="U97">
        <v>14.318066157760819</v>
      </c>
      <c r="V97">
        <v>14.31486146095718</v>
      </c>
      <c r="W97">
        <v>14.31486146095718</v>
      </c>
      <c r="X97">
        <v>14.31592969322506</v>
      </c>
      <c r="Y97">
        <v>4.1466737752502807E-3</v>
      </c>
      <c r="Z97">
        <v>4.1351398909026922E-3</v>
      </c>
      <c r="AA97">
        <v>4.1351398909026922E-3</v>
      </c>
      <c r="AB97">
        <v>4.1389845190185548E-3</v>
      </c>
      <c r="AC97">
        <v>19.73</v>
      </c>
      <c r="AD97">
        <v>0.64416666666666678</v>
      </c>
      <c r="AE97">
        <v>282.47000000000003</v>
      </c>
      <c r="AF97">
        <v>0.6443707067178952</v>
      </c>
      <c r="AG97">
        <v>1.17</v>
      </c>
      <c r="AH97">
        <v>0.647887323943662</v>
      </c>
    </row>
    <row r="98" spans="1:34" x14ac:dyDescent="0.35">
      <c r="A98" t="s">
        <v>39</v>
      </c>
      <c r="B98">
        <v>898345</v>
      </c>
      <c r="C98" t="s">
        <v>72</v>
      </c>
      <c r="D98" t="s">
        <v>1111</v>
      </c>
      <c r="E98" t="s">
        <v>568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AC98">
        <v>0</v>
      </c>
      <c r="AE98">
        <v>0</v>
      </c>
      <c r="AG98">
        <v>0</v>
      </c>
    </row>
    <row r="99" spans="1:34" x14ac:dyDescent="0.35">
      <c r="A99" t="s">
        <v>39</v>
      </c>
      <c r="B99">
        <v>899622</v>
      </c>
      <c r="C99" t="s">
        <v>72</v>
      </c>
      <c r="D99" t="s">
        <v>1116</v>
      </c>
      <c r="E99" t="s">
        <v>568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AC99">
        <v>0</v>
      </c>
      <c r="AE99">
        <v>0</v>
      </c>
      <c r="AG99">
        <v>0</v>
      </c>
    </row>
    <row r="100" spans="1:34" x14ac:dyDescent="0.35">
      <c r="A100" t="s">
        <v>39</v>
      </c>
      <c r="B100">
        <v>899623</v>
      </c>
      <c r="C100" t="s">
        <v>72</v>
      </c>
      <c r="D100" t="s">
        <v>1121</v>
      </c>
      <c r="E100" t="s">
        <v>568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AC100">
        <v>0</v>
      </c>
      <c r="AE100">
        <v>0</v>
      </c>
      <c r="AG100">
        <v>0</v>
      </c>
    </row>
    <row r="101" spans="1:34" x14ac:dyDescent="0.35">
      <c r="A101" t="s">
        <v>39</v>
      </c>
      <c r="B101">
        <v>899624</v>
      </c>
      <c r="C101" t="s">
        <v>72</v>
      </c>
      <c r="D101" t="s">
        <v>1125</v>
      </c>
      <c r="E101" t="s">
        <v>568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AC101">
        <v>0</v>
      </c>
      <c r="AE101">
        <v>0</v>
      </c>
      <c r="AG101">
        <v>0</v>
      </c>
    </row>
    <row r="102" spans="1:34" x14ac:dyDescent="0.35">
      <c r="A102" t="s">
        <v>39</v>
      </c>
      <c r="B102">
        <v>546572</v>
      </c>
      <c r="C102" t="s">
        <v>72</v>
      </c>
      <c r="D102" t="s">
        <v>1130</v>
      </c>
      <c r="E102" t="s">
        <v>568</v>
      </c>
      <c r="F102">
        <v>48.84</v>
      </c>
      <c r="G102">
        <v>47.47</v>
      </c>
      <c r="H102">
        <v>47.47</v>
      </c>
      <c r="I102">
        <v>40</v>
      </c>
      <c r="J102">
        <v>213.88</v>
      </c>
      <c r="K102">
        <v>207.87</v>
      </c>
      <c r="L102">
        <v>207.87</v>
      </c>
      <c r="M102">
        <v>175.16</v>
      </c>
      <c r="N102">
        <v>1.17</v>
      </c>
      <c r="O102">
        <v>1.1399999999999999</v>
      </c>
      <c r="P102">
        <v>1.1399999999999999</v>
      </c>
      <c r="Q102">
        <v>0.96</v>
      </c>
      <c r="R102">
        <v>-2.8050778050778161E-2</v>
      </c>
      <c r="S102">
        <v>-2.8099869085468469E-2</v>
      </c>
      <c r="T102">
        <v>-2.5641025641025661E-2</v>
      </c>
      <c r="U102">
        <v>4.3791973791973788</v>
      </c>
      <c r="V102">
        <v>4.37897619549189</v>
      </c>
      <c r="W102">
        <v>4.37897619549189</v>
      </c>
      <c r="X102">
        <v>4.3790499233937199</v>
      </c>
      <c r="Y102">
        <v>5.4703572096502706E-3</v>
      </c>
      <c r="Z102">
        <v>5.4841968538028567E-3</v>
      </c>
      <c r="AA102">
        <v>5.4841968538028567E-3</v>
      </c>
      <c r="AB102">
        <v>5.4795836390853269E-3</v>
      </c>
      <c r="AC102">
        <v>96.31</v>
      </c>
      <c r="AD102">
        <v>1.4077500000000001</v>
      </c>
      <c r="AE102">
        <v>421.75</v>
      </c>
      <c r="AF102">
        <v>1.4077985841516329</v>
      </c>
      <c r="AG102">
        <v>2.31</v>
      </c>
      <c r="AH102">
        <v>1.40625</v>
      </c>
    </row>
    <row r="103" spans="1:34" x14ac:dyDescent="0.35">
      <c r="A103" t="s">
        <v>39</v>
      </c>
      <c r="B103">
        <v>546579</v>
      </c>
      <c r="C103" t="s">
        <v>72</v>
      </c>
      <c r="D103" t="s">
        <v>1143</v>
      </c>
      <c r="E103" t="s">
        <v>568</v>
      </c>
      <c r="F103">
        <v>25</v>
      </c>
      <c r="G103">
        <v>23.86</v>
      </c>
      <c r="H103">
        <v>23.86</v>
      </c>
      <c r="I103">
        <v>30</v>
      </c>
      <c r="J103">
        <v>128.15</v>
      </c>
      <c r="K103">
        <v>122.32</v>
      </c>
      <c r="L103">
        <v>122.32</v>
      </c>
      <c r="M103">
        <v>153.78</v>
      </c>
      <c r="N103">
        <v>0.65</v>
      </c>
      <c r="O103">
        <v>0.62</v>
      </c>
      <c r="P103">
        <v>0.62</v>
      </c>
      <c r="Q103">
        <v>0.78</v>
      </c>
      <c r="R103">
        <v>-4.5599999999999967E-2</v>
      </c>
      <c r="S103">
        <v>-4.549356223175971E-2</v>
      </c>
      <c r="T103">
        <v>-4.6153846153846212E-2</v>
      </c>
      <c r="U103">
        <v>5.1260000000000003</v>
      </c>
      <c r="V103">
        <v>5.126571668063705</v>
      </c>
      <c r="W103">
        <v>5.126571668063705</v>
      </c>
      <c r="X103">
        <v>5.1263811120424698</v>
      </c>
      <c r="Y103">
        <v>5.0721810378462741E-3</v>
      </c>
      <c r="Z103">
        <v>5.0686723348593856E-3</v>
      </c>
      <c r="AA103">
        <v>5.0686723348593856E-3</v>
      </c>
      <c r="AB103">
        <v>5.0698419025216818E-3</v>
      </c>
      <c r="AC103">
        <v>48.86</v>
      </c>
      <c r="AD103">
        <v>0.62866666666666671</v>
      </c>
      <c r="AE103">
        <v>250.47</v>
      </c>
      <c r="AF103">
        <v>0.62875536480686689</v>
      </c>
      <c r="AG103">
        <v>1.27</v>
      </c>
      <c r="AH103">
        <v>0.62820512820512819</v>
      </c>
    </row>
    <row r="104" spans="1:34" x14ac:dyDescent="0.35">
      <c r="A104" t="s">
        <v>39</v>
      </c>
      <c r="B104">
        <v>782841</v>
      </c>
      <c r="C104" t="s">
        <v>72</v>
      </c>
      <c r="D104" t="s">
        <v>1153</v>
      </c>
      <c r="E104" t="s">
        <v>281</v>
      </c>
      <c r="F104">
        <v>198.99</v>
      </c>
      <c r="G104">
        <v>197.91</v>
      </c>
      <c r="H104">
        <v>197.91</v>
      </c>
      <c r="I104">
        <v>200</v>
      </c>
      <c r="J104">
        <v>122.59</v>
      </c>
      <c r="K104">
        <v>121.93</v>
      </c>
      <c r="L104">
        <v>121.93</v>
      </c>
      <c r="M104">
        <v>123.22</v>
      </c>
      <c r="N104">
        <v>4.37</v>
      </c>
      <c r="O104">
        <v>4.3499999999999996</v>
      </c>
      <c r="P104">
        <v>4.3499999999999996</v>
      </c>
      <c r="Q104">
        <v>4.4000000000000004</v>
      </c>
      <c r="R104">
        <v>-5.4274084124831257E-3</v>
      </c>
      <c r="S104">
        <v>-5.3837996573945501E-3</v>
      </c>
      <c r="T104">
        <v>-4.5766590389016981E-3</v>
      </c>
      <c r="U104">
        <v>0.616061108598422</v>
      </c>
      <c r="V104">
        <v>0.61608812086301856</v>
      </c>
      <c r="W104">
        <v>0.61608812086301856</v>
      </c>
      <c r="X104">
        <v>0.61607911677481975</v>
      </c>
      <c r="Y104">
        <v>3.5647279549718573E-2</v>
      </c>
      <c r="Z104">
        <v>3.567620766013286E-2</v>
      </c>
      <c r="AA104">
        <v>3.567620766013286E-2</v>
      </c>
      <c r="AB104">
        <v>3.5666564956661428E-2</v>
      </c>
      <c r="AC104">
        <v>396.9</v>
      </c>
      <c r="AD104">
        <v>0.98449999999999993</v>
      </c>
      <c r="AE104">
        <v>244.52</v>
      </c>
      <c r="AF104">
        <v>0.98441811394254186</v>
      </c>
      <c r="AG104">
        <v>8.7199999999999989</v>
      </c>
      <c r="AH104">
        <v>0.98181818181818148</v>
      </c>
    </row>
    <row r="105" spans="1:34" x14ac:dyDescent="0.35">
      <c r="A105" t="s">
        <v>39</v>
      </c>
      <c r="B105">
        <v>786238</v>
      </c>
      <c r="C105" t="s">
        <v>72</v>
      </c>
      <c r="D105" t="s">
        <v>1172</v>
      </c>
      <c r="E105" t="s">
        <v>1173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AC105">
        <v>0</v>
      </c>
      <c r="AE105">
        <v>0</v>
      </c>
      <c r="AG105">
        <v>0</v>
      </c>
    </row>
    <row r="106" spans="1:34" x14ac:dyDescent="0.35">
      <c r="A106" t="s">
        <v>39</v>
      </c>
      <c r="B106">
        <v>825955</v>
      </c>
      <c r="C106" t="s">
        <v>72</v>
      </c>
      <c r="D106" t="s">
        <v>1182</v>
      </c>
      <c r="E106" t="s">
        <v>752</v>
      </c>
      <c r="J106">
        <v>596.91999999999996</v>
      </c>
      <c r="K106">
        <v>533.92999999999995</v>
      </c>
      <c r="L106">
        <v>533.92999999999995</v>
      </c>
      <c r="M106">
        <v>534.44000000000005</v>
      </c>
      <c r="N106">
        <v>10.35</v>
      </c>
      <c r="O106">
        <v>9.26</v>
      </c>
      <c r="P106">
        <v>9.26</v>
      </c>
      <c r="Q106">
        <v>9.27</v>
      </c>
      <c r="S106">
        <v>-0.1055250284795283</v>
      </c>
      <c r="T106">
        <v>-0.1053140096618357</v>
      </c>
      <c r="Y106">
        <v>1.7339006902097439E-2</v>
      </c>
      <c r="Z106">
        <v>1.7343097409772822E-2</v>
      </c>
      <c r="AA106">
        <v>1.7343097409772822E-2</v>
      </c>
      <c r="AB106">
        <v>1.7341733907214361E-2</v>
      </c>
      <c r="AE106">
        <v>1130.8499999999999</v>
      </c>
      <c r="AF106">
        <v>1.115953147219519</v>
      </c>
      <c r="AG106">
        <v>19.61</v>
      </c>
      <c r="AH106">
        <v>1.115426105717368</v>
      </c>
    </row>
    <row r="107" spans="1:34" x14ac:dyDescent="0.35">
      <c r="A107" t="s">
        <v>39</v>
      </c>
      <c r="B107">
        <v>825956</v>
      </c>
      <c r="C107" t="s">
        <v>72</v>
      </c>
      <c r="D107" t="s">
        <v>1195</v>
      </c>
      <c r="E107" t="s">
        <v>752</v>
      </c>
      <c r="F107">
        <v>343.31</v>
      </c>
      <c r="G107">
        <v>339.4</v>
      </c>
      <c r="H107">
        <v>339.4</v>
      </c>
      <c r="I107">
        <v>334.53</v>
      </c>
      <c r="J107">
        <v>61.85</v>
      </c>
      <c r="K107">
        <v>61.14</v>
      </c>
      <c r="L107">
        <v>61.14</v>
      </c>
      <c r="M107">
        <v>60.27</v>
      </c>
      <c r="N107">
        <v>1.48</v>
      </c>
      <c r="O107">
        <v>1.46</v>
      </c>
      <c r="P107">
        <v>1.46</v>
      </c>
      <c r="Q107">
        <v>1.44</v>
      </c>
      <c r="R107">
        <v>-1.13891235326673E-2</v>
      </c>
      <c r="S107">
        <v>-1.147938561034767E-2</v>
      </c>
      <c r="T107">
        <v>-1.351351351351349E-2</v>
      </c>
      <c r="U107">
        <v>0.18015787480702569</v>
      </c>
      <c r="V107">
        <v>0.1801414260459635</v>
      </c>
      <c r="W107">
        <v>0.1801414260459635</v>
      </c>
      <c r="X107">
        <v>0.1801469089663176</v>
      </c>
      <c r="Y107">
        <v>2.3928860145513341E-2</v>
      </c>
      <c r="Z107">
        <v>2.3879620543016029E-2</v>
      </c>
      <c r="AA107">
        <v>2.3879620543016029E-2</v>
      </c>
      <c r="AB107">
        <v>2.3896033743848469E-2</v>
      </c>
      <c r="AC107">
        <v>682.71</v>
      </c>
      <c r="AD107">
        <v>1.040803515379787</v>
      </c>
      <c r="AE107">
        <v>122.99</v>
      </c>
      <c r="AF107">
        <v>1.0406504065040649</v>
      </c>
      <c r="AG107">
        <v>2.94</v>
      </c>
      <c r="AH107">
        <v>1.041666666666667</v>
      </c>
    </row>
    <row r="108" spans="1:34" x14ac:dyDescent="0.35">
      <c r="A108" t="s">
        <v>39</v>
      </c>
      <c r="B108">
        <v>825958</v>
      </c>
      <c r="C108" t="s">
        <v>72</v>
      </c>
      <c r="D108" t="s">
        <v>1212</v>
      </c>
      <c r="E108" t="s">
        <v>752</v>
      </c>
      <c r="F108">
        <v>201</v>
      </c>
      <c r="G108">
        <v>253.57</v>
      </c>
      <c r="H108">
        <v>253.57</v>
      </c>
      <c r="I108">
        <v>258</v>
      </c>
      <c r="J108">
        <v>35.74</v>
      </c>
      <c r="K108">
        <v>45.09</v>
      </c>
      <c r="L108">
        <v>45.09</v>
      </c>
      <c r="M108">
        <v>45.88</v>
      </c>
      <c r="N108">
        <v>0.63</v>
      </c>
      <c r="O108">
        <v>0.8</v>
      </c>
      <c r="P108">
        <v>0.8</v>
      </c>
      <c r="Q108">
        <v>0.81</v>
      </c>
      <c r="R108">
        <v>0.26154228855721379</v>
      </c>
      <c r="S108">
        <v>0.26161163961947409</v>
      </c>
      <c r="T108">
        <v>0.26984126984126999</v>
      </c>
      <c r="U108">
        <v>0.17781094527363181</v>
      </c>
      <c r="V108">
        <v>0.17782072011673311</v>
      </c>
      <c r="W108">
        <v>0.17782072011673311</v>
      </c>
      <c r="X108">
        <v>0.17781746183569941</v>
      </c>
      <c r="Y108">
        <v>1.7627308337996639E-2</v>
      </c>
      <c r="Z108">
        <v>1.7742293191394989E-2</v>
      </c>
      <c r="AA108">
        <v>1.7742293191394989E-2</v>
      </c>
      <c r="AB108">
        <v>1.7703964906928871E-2</v>
      </c>
      <c r="AC108">
        <v>454.57</v>
      </c>
      <c r="AD108">
        <v>0.76189922480620154</v>
      </c>
      <c r="AE108">
        <v>80.830000000000013</v>
      </c>
      <c r="AF108">
        <v>0.76176983435047974</v>
      </c>
      <c r="AG108">
        <v>1.43</v>
      </c>
      <c r="AH108">
        <v>0.76543209876543217</v>
      </c>
    </row>
    <row r="109" spans="1:34" x14ac:dyDescent="0.35">
      <c r="A109" t="s">
        <v>39</v>
      </c>
      <c r="B109">
        <v>823534</v>
      </c>
      <c r="C109" t="s">
        <v>72</v>
      </c>
      <c r="D109" t="s">
        <v>1229</v>
      </c>
      <c r="E109" t="s">
        <v>116</v>
      </c>
      <c r="J109">
        <v>201.28</v>
      </c>
      <c r="K109">
        <v>238.35</v>
      </c>
      <c r="L109">
        <v>245.81</v>
      </c>
      <c r="M109">
        <v>205.15</v>
      </c>
      <c r="N109">
        <v>6.96</v>
      </c>
      <c r="O109">
        <v>8.24</v>
      </c>
      <c r="P109">
        <v>8.5</v>
      </c>
      <c r="Q109">
        <v>7.09</v>
      </c>
      <c r="S109">
        <v>0.1841713036565977</v>
      </c>
      <c r="T109">
        <v>0.18390804597701149</v>
      </c>
      <c r="Y109">
        <v>3.4578696343402222E-2</v>
      </c>
      <c r="Z109">
        <v>3.457100902034823E-2</v>
      </c>
      <c r="AA109">
        <v>3.4579553313534843E-2</v>
      </c>
      <c r="AB109">
        <v>3.4576419559095101E-2</v>
      </c>
      <c r="AE109">
        <v>439.63</v>
      </c>
      <c r="AF109">
        <v>1.142968559590543</v>
      </c>
      <c r="AG109">
        <v>15.2</v>
      </c>
      <c r="AH109">
        <v>1.1438645980253881</v>
      </c>
    </row>
    <row r="110" spans="1:34" x14ac:dyDescent="0.35">
      <c r="A110" t="s">
        <v>39</v>
      </c>
      <c r="B110">
        <v>823532</v>
      </c>
      <c r="C110" t="s">
        <v>72</v>
      </c>
      <c r="D110" t="s">
        <v>1249</v>
      </c>
      <c r="E110" t="s">
        <v>116</v>
      </c>
      <c r="F110">
        <v>58.8</v>
      </c>
      <c r="G110">
        <v>58.8</v>
      </c>
      <c r="H110">
        <v>38.799999999999997</v>
      </c>
      <c r="I110">
        <v>80</v>
      </c>
      <c r="J110">
        <v>10.34</v>
      </c>
      <c r="K110">
        <v>10.34</v>
      </c>
      <c r="L110">
        <v>6.82</v>
      </c>
      <c r="M110">
        <v>14.06</v>
      </c>
      <c r="N110">
        <v>0.36</v>
      </c>
      <c r="O110">
        <v>0.36</v>
      </c>
      <c r="P110">
        <v>0.24</v>
      </c>
      <c r="Q110">
        <v>0.49</v>
      </c>
      <c r="R110">
        <v>0</v>
      </c>
      <c r="S110">
        <v>0</v>
      </c>
      <c r="T110">
        <v>0</v>
      </c>
      <c r="U110">
        <v>0.17585034013605441</v>
      </c>
      <c r="V110">
        <v>0.17585034013605441</v>
      </c>
      <c r="W110">
        <v>0.1757731958762887</v>
      </c>
      <c r="X110">
        <v>0.17582462538279919</v>
      </c>
      <c r="Y110">
        <v>3.4816247582205029E-2</v>
      </c>
      <c r="Z110">
        <v>3.4816247582205029E-2</v>
      </c>
      <c r="AA110">
        <v>3.5190615835777123E-2</v>
      </c>
      <c r="AB110">
        <v>3.4941037000062403E-2</v>
      </c>
      <c r="AC110">
        <v>117.6</v>
      </c>
      <c r="AD110">
        <v>0.47</v>
      </c>
      <c r="AE110">
        <v>20.68</v>
      </c>
      <c r="AF110">
        <v>0.47083926031294449</v>
      </c>
      <c r="AG110">
        <v>0.72</v>
      </c>
      <c r="AH110">
        <v>0.46938775510204089</v>
      </c>
    </row>
    <row r="111" spans="1:34" x14ac:dyDescent="0.35">
      <c r="A111" t="s">
        <v>39</v>
      </c>
      <c r="B111">
        <v>825019</v>
      </c>
      <c r="C111" t="s">
        <v>72</v>
      </c>
      <c r="D111" t="s">
        <v>1259</v>
      </c>
      <c r="E111" t="s">
        <v>1260</v>
      </c>
      <c r="F111">
        <v>53.33</v>
      </c>
      <c r="G111">
        <v>50.85</v>
      </c>
      <c r="H111">
        <v>50.85</v>
      </c>
      <c r="I111">
        <v>106.66</v>
      </c>
      <c r="J111">
        <v>4.26</v>
      </c>
      <c r="K111">
        <v>4.07</v>
      </c>
      <c r="L111">
        <v>4.07</v>
      </c>
      <c r="M111">
        <v>8.5299999999999994</v>
      </c>
      <c r="N111">
        <v>0.15</v>
      </c>
      <c r="O111">
        <v>0.14000000000000001</v>
      </c>
      <c r="P111">
        <v>0.14000000000000001</v>
      </c>
      <c r="Q111">
        <v>0.3</v>
      </c>
      <c r="R111">
        <v>-4.6502906431651891E-2</v>
      </c>
      <c r="S111">
        <v>-4.4600938967136017E-2</v>
      </c>
      <c r="T111">
        <v>-6.6666666666666541E-2</v>
      </c>
      <c r="U111">
        <v>7.9879992499531219E-2</v>
      </c>
      <c r="V111">
        <v>8.0039331366764999E-2</v>
      </c>
      <c r="W111">
        <v>8.0039331366764999E-2</v>
      </c>
      <c r="X111">
        <v>7.9986218411020396E-2</v>
      </c>
      <c r="Y111">
        <v>3.5211267605633798E-2</v>
      </c>
      <c r="Z111">
        <v>3.4398034398034398E-2</v>
      </c>
      <c r="AA111">
        <v>3.4398034398034398E-2</v>
      </c>
      <c r="AB111">
        <v>3.4669112133900858E-2</v>
      </c>
      <c r="AC111">
        <v>104.18</v>
      </c>
      <c r="AD111">
        <v>-2.325145321582589E-2</v>
      </c>
      <c r="AE111">
        <v>8.33</v>
      </c>
      <c r="AF111">
        <v>-2.344665885111363E-2</v>
      </c>
      <c r="AG111">
        <v>0.28999999999999998</v>
      </c>
      <c r="AH111">
        <v>-3.3333333333333208E-2</v>
      </c>
    </row>
    <row r="112" spans="1:34" x14ac:dyDescent="0.35">
      <c r="A112" t="s">
        <v>39</v>
      </c>
      <c r="B112">
        <v>825474</v>
      </c>
      <c r="C112" t="s">
        <v>72</v>
      </c>
      <c r="D112" t="s">
        <v>1270</v>
      </c>
      <c r="E112" t="s">
        <v>1271</v>
      </c>
      <c r="F112">
        <v>797.08</v>
      </c>
      <c r="G112">
        <v>757.31</v>
      </c>
      <c r="H112">
        <v>890.64</v>
      </c>
      <c r="I112">
        <v>866.66</v>
      </c>
      <c r="J112">
        <v>142.07</v>
      </c>
      <c r="K112">
        <v>134.97999999999999</v>
      </c>
      <c r="L112">
        <v>158.75</v>
      </c>
      <c r="M112">
        <v>154.47</v>
      </c>
      <c r="N112">
        <v>5.92</v>
      </c>
      <c r="O112">
        <v>5.63</v>
      </c>
      <c r="P112">
        <v>6.62</v>
      </c>
      <c r="Q112">
        <v>6.44</v>
      </c>
      <c r="R112">
        <v>-4.9894615346013027E-2</v>
      </c>
      <c r="S112">
        <v>-4.9904976420074632E-2</v>
      </c>
      <c r="T112">
        <v>-4.8986486486486507E-2</v>
      </c>
      <c r="U112">
        <v>0.1782380689516736</v>
      </c>
      <c r="V112">
        <v>0.17823612523273161</v>
      </c>
      <c r="W112">
        <v>0.1782426120542531</v>
      </c>
      <c r="X112">
        <v>0.1782389354128861</v>
      </c>
      <c r="Y112">
        <v>4.1669599493207567E-2</v>
      </c>
      <c r="Z112">
        <v>4.1709882945621578E-2</v>
      </c>
      <c r="AA112">
        <v>4.1700787401574797E-2</v>
      </c>
      <c r="AB112">
        <v>4.1693423280134638E-2</v>
      </c>
      <c r="AC112">
        <v>1554.39</v>
      </c>
      <c r="AD112">
        <v>0.79354071954399652</v>
      </c>
      <c r="AE112">
        <v>277.05</v>
      </c>
      <c r="AF112">
        <v>0.79355214604777591</v>
      </c>
      <c r="AG112">
        <v>11.55</v>
      </c>
      <c r="AH112">
        <v>0.79347826086956519</v>
      </c>
    </row>
    <row r="113" spans="1:34" x14ac:dyDescent="0.35">
      <c r="A113" t="s">
        <v>39</v>
      </c>
      <c r="B113">
        <v>825020</v>
      </c>
      <c r="C113" t="s">
        <v>72</v>
      </c>
      <c r="D113" t="s">
        <v>1294</v>
      </c>
      <c r="E113" t="s">
        <v>1271</v>
      </c>
      <c r="F113">
        <v>532</v>
      </c>
      <c r="G113">
        <v>562.33000000000004</v>
      </c>
      <c r="H113">
        <v>662.33</v>
      </c>
      <c r="I113">
        <v>533.33000000000004</v>
      </c>
      <c r="J113">
        <v>90.74</v>
      </c>
      <c r="K113">
        <v>95.91</v>
      </c>
      <c r="L113">
        <v>112.97</v>
      </c>
      <c r="M113">
        <v>90.97</v>
      </c>
      <c r="N113">
        <v>3.48</v>
      </c>
      <c r="O113">
        <v>3.68</v>
      </c>
      <c r="P113">
        <v>4.33</v>
      </c>
      <c r="Q113">
        <v>3.49</v>
      </c>
      <c r="R113">
        <v>5.701127819548879E-2</v>
      </c>
      <c r="S113">
        <v>5.697597531408416E-2</v>
      </c>
      <c r="T113">
        <v>5.7471264367816133E-2</v>
      </c>
      <c r="U113">
        <v>0.17056390977443611</v>
      </c>
      <c r="V113">
        <v>0.17055821314886269</v>
      </c>
      <c r="W113">
        <v>0.1705645222170217</v>
      </c>
      <c r="X113">
        <v>0.17056221504677349</v>
      </c>
      <c r="Y113">
        <v>3.8351333480273309E-2</v>
      </c>
      <c r="Z113">
        <v>3.836930455635492E-2</v>
      </c>
      <c r="AA113">
        <v>3.8328759847747189E-2</v>
      </c>
      <c r="AB113">
        <v>3.8349799294791813E-2</v>
      </c>
      <c r="AC113">
        <v>1094.33</v>
      </c>
      <c r="AD113">
        <v>1.0518815742598391</v>
      </c>
      <c r="AE113">
        <v>186.65</v>
      </c>
      <c r="AF113">
        <v>1.051775310541937</v>
      </c>
      <c r="AG113">
        <v>7.16</v>
      </c>
      <c r="AH113">
        <v>1.051575931232092</v>
      </c>
    </row>
    <row r="114" spans="1:34" x14ac:dyDescent="0.35">
      <c r="A114" t="s">
        <v>39</v>
      </c>
      <c r="B114">
        <v>823536</v>
      </c>
      <c r="C114" t="s">
        <v>72</v>
      </c>
      <c r="D114" t="s">
        <v>1317</v>
      </c>
      <c r="E114" t="s">
        <v>1260</v>
      </c>
      <c r="F114">
        <v>0</v>
      </c>
      <c r="G114">
        <v>0</v>
      </c>
      <c r="H114">
        <v>0</v>
      </c>
      <c r="I114">
        <v>20</v>
      </c>
      <c r="J114">
        <v>0</v>
      </c>
      <c r="K114">
        <v>0</v>
      </c>
      <c r="L114">
        <v>0</v>
      </c>
      <c r="M114">
        <v>4.59</v>
      </c>
      <c r="N114">
        <v>0</v>
      </c>
      <c r="O114">
        <v>0</v>
      </c>
      <c r="P114">
        <v>0</v>
      </c>
      <c r="Q114">
        <v>0.16</v>
      </c>
      <c r="AC114">
        <v>0</v>
      </c>
      <c r="AD114">
        <v>-1</v>
      </c>
      <c r="AE114">
        <v>0</v>
      </c>
      <c r="AF114">
        <v>-1</v>
      </c>
      <c r="AG114">
        <v>0</v>
      </c>
      <c r="AH114">
        <v>-1</v>
      </c>
    </row>
    <row r="115" spans="1:34" x14ac:dyDescent="0.35">
      <c r="A115" t="s">
        <v>39</v>
      </c>
      <c r="B115">
        <v>823535</v>
      </c>
      <c r="C115" t="s">
        <v>72</v>
      </c>
      <c r="D115" t="s">
        <v>1323</v>
      </c>
      <c r="E115" t="s">
        <v>1260</v>
      </c>
      <c r="F115">
        <v>171.8</v>
      </c>
      <c r="G115">
        <v>170.15</v>
      </c>
      <c r="H115">
        <v>210.15</v>
      </c>
      <c r="I115">
        <v>306.67</v>
      </c>
      <c r="J115">
        <v>25.11</v>
      </c>
      <c r="K115">
        <v>24.87</v>
      </c>
      <c r="L115">
        <v>30.71</v>
      </c>
      <c r="M115">
        <v>44.82</v>
      </c>
      <c r="N115">
        <v>0.88</v>
      </c>
      <c r="O115">
        <v>0.87</v>
      </c>
      <c r="P115">
        <v>1.07</v>
      </c>
      <c r="Q115">
        <v>1.57</v>
      </c>
      <c r="R115">
        <v>-9.6041909196741271E-3</v>
      </c>
      <c r="S115">
        <v>-9.5579450418159517E-3</v>
      </c>
      <c r="T115">
        <v>-1.136363636363635E-2</v>
      </c>
      <c r="U115">
        <v>0.14615832363213041</v>
      </c>
      <c r="V115">
        <v>0.14616514839847189</v>
      </c>
      <c r="W115">
        <v>0.14613371401379971</v>
      </c>
      <c r="X115">
        <v>0.14615239534813401</v>
      </c>
      <c r="Y115">
        <v>3.5045798486658702E-2</v>
      </c>
      <c r="Z115">
        <v>3.4981905910735828E-2</v>
      </c>
      <c r="AA115">
        <v>3.48420709866493E-2</v>
      </c>
      <c r="AB115">
        <v>3.4956591794681267E-2</v>
      </c>
      <c r="AC115">
        <v>341.95</v>
      </c>
      <c r="AD115">
        <v>0.1150422278018719</v>
      </c>
      <c r="AE115">
        <v>49.98</v>
      </c>
      <c r="AF115">
        <v>0.1151271753681393</v>
      </c>
      <c r="AG115">
        <v>1.75</v>
      </c>
      <c r="AH115">
        <v>0.11464968152866239</v>
      </c>
    </row>
    <row r="116" spans="1:34" x14ac:dyDescent="0.35">
      <c r="A116" t="s">
        <v>39</v>
      </c>
      <c r="B116">
        <v>823533</v>
      </c>
      <c r="C116" t="s">
        <v>72</v>
      </c>
      <c r="D116" t="s">
        <v>1337</v>
      </c>
      <c r="E116" t="s">
        <v>116</v>
      </c>
      <c r="F116">
        <v>120</v>
      </c>
      <c r="G116">
        <v>159.05000000000001</v>
      </c>
      <c r="H116">
        <v>159.05000000000001</v>
      </c>
      <c r="I116">
        <v>160</v>
      </c>
      <c r="J116">
        <v>22.15</v>
      </c>
      <c r="K116">
        <v>29.35</v>
      </c>
      <c r="L116">
        <v>29.35</v>
      </c>
      <c r="M116">
        <v>29.53</v>
      </c>
      <c r="N116">
        <v>0.77</v>
      </c>
      <c r="O116">
        <v>1.03</v>
      </c>
      <c r="P116">
        <v>1.03</v>
      </c>
      <c r="Q116">
        <v>1.03</v>
      </c>
      <c r="R116">
        <v>0.32541666666666669</v>
      </c>
      <c r="S116">
        <v>0.32505643340857793</v>
      </c>
      <c r="T116">
        <v>0.33766233766233777</v>
      </c>
      <c r="U116">
        <v>0.18458333333333329</v>
      </c>
      <c r="V116">
        <v>0.18453316567117259</v>
      </c>
      <c r="W116">
        <v>0.18453316567117259</v>
      </c>
      <c r="X116">
        <v>0.18454988822522619</v>
      </c>
      <c r="Y116">
        <v>3.4762979683972912E-2</v>
      </c>
      <c r="Z116">
        <v>3.5093696763202717E-2</v>
      </c>
      <c r="AA116">
        <v>3.5093696763202717E-2</v>
      </c>
      <c r="AB116">
        <v>3.4983457736792789E-2</v>
      </c>
      <c r="AC116">
        <v>279.05</v>
      </c>
      <c r="AD116">
        <v>0.74406250000000007</v>
      </c>
      <c r="AE116">
        <v>51.5</v>
      </c>
      <c r="AF116">
        <v>0.74398916356247868</v>
      </c>
      <c r="AG116">
        <v>1.8</v>
      </c>
      <c r="AH116">
        <v>0.74757281553398047</v>
      </c>
    </row>
    <row r="117" spans="1:34" x14ac:dyDescent="0.35">
      <c r="A117" t="s">
        <v>39</v>
      </c>
      <c r="B117">
        <v>826728</v>
      </c>
      <c r="C117" t="s">
        <v>72</v>
      </c>
      <c r="D117" t="s">
        <v>1350</v>
      </c>
      <c r="E117" t="s">
        <v>1351</v>
      </c>
      <c r="F117">
        <v>201.72</v>
      </c>
      <c r="G117">
        <v>201.72</v>
      </c>
      <c r="H117">
        <v>201.72</v>
      </c>
      <c r="I117">
        <v>382.2</v>
      </c>
      <c r="J117">
        <v>2.64</v>
      </c>
      <c r="K117">
        <v>2.64</v>
      </c>
      <c r="L117">
        <v>2.64</v>
      </c>
      <c r="M117">
        <v>5</v>
      </c>
      <c r="N117">
        <v>2.5099999999999998</v>
      </c>
      <c r="O117">
        <v>2.5099999999999998</v>
      </c>
      <c r="P117">
        <v>2.5099999999999998</v>
      </c>
      <c r="Q117">
        <v>4.76</v>
      </c>
      <c r="R117">
        <v>0</v>
      </c>
      <c r="S117">
        <v>0</v>
      </c>
      <c r="T117">
        <v>0</v>
      </c>
      <c r="U117">
        <v>1.308744794765021E-2</v>
      </c>
      <c r="V117">
        <v>1.308744794765021E-2</v>
      </c>
      <c r="W117">
        <v>1.308744794765021E-2</v>
      </c>
      <c r="X117">
        <v>1.308744794765021E-2</v>
      </c>
      <c r="Y117">
        <v>0.95075757575757558</v>
      </c>
      <c r="Z117">
        <v>0.95075757575757558</v>
      </c>
      <c r="AA117">
        <v>0.95075757575757558</v>
      </c>
      <c r="AB117">
        <v>0.95075757575757558</v>
      </c>
      <c r="AC117">
        <v>403.44</v>
      </c>
      <c r="AD117">
        <v>5.5572998430141407E-2</v>
      </c>
      <c r="AE117">
        <v>5.28</v>
      </c>
      <c r="AF117">
        <v>5.600000000000005E-2</v>
      </c>
      <c r="AG117">
        <v>5.0199999999999996</v>
      </c>
      <c r="AH117">
        <v>5.4621848739495833E-2</v>
      </c>
    </row>
    <row r="118" spans="1:34" x14ac:dyDescent="0.35">
      <c r="A118" t="s">
        <v>39</v>
      </c>
      <c r="B118">
        <v>826727</v>
      </c>
      <c r="C118" t="s">
        <v>72</v>
      </c>
      <c r="D118" t="s">
        <v>1363</v>
      </c>
      <c r="E118" t="s">
        <v>1351</v>
      </c>
      <c r="F118">
        <v>0</v>
      </c>
      <c r="G118">
        <v>0</v>
      </c>
      <c r="H118">
        <v>0</v>
      </c>
      <c r="I118">
        <v>176.4</v>
      </c>
      <c r="J118">
        <v>0</v>
      </c>
      <c r="K118">
        <v>0</v>
      </c>
      <c r="L118">
        <v>0</v>
      </c>
      <c r="M118">
        <v>1.88</v>
      </c>
      <c r="N118">
        <v>0</v>
      </c>
      <c r="O118">
        <v>0</v>
      </c>
      <c r="P118">
        <v>0</v>
      </c>
      <c r="Q118">
        <v>1.17</v>
      </c>
      <c r="AC118">
        <v>0</v>
      </c>
      <c r="AD118">
        <v>-1</v>
      </c>
      <c r="AE118">
        <v>0</v>
      </c>
      <c r="AF118">
        <v>-1</v>
      </c>
      <c r="AG118">
        <v>0</v>
      </c>
      <c r="AH118">
        <v>-1</v>
      </c>
    </row>
    <row r="119" spans="1:34" x14ac:dyDescent="0.35">
      <c r="A119" t="s">
        <v>39</v>
      </c>
      <c r="B119">
        <v>826730</v>
      </c>
      <c r="C119" t="s">
        <v>72</v>
      </c>
      <c r="D119" t="s">
        <v>1370</v>
      </c>
      <c r="E119" t="s">
        <v>1351</v>
      </c>
      <c r="F119">
        <v>29.46</v>
      </c>
      <c r="G119">
        <v>29.46</v>
      </c>
      <c r="H119">
        <v>29.46</v>
      </c>
      <c r="I119">
        <v>73.5</v>
      </c>
      <c r="J119">
        <v>0.51</v>
      </c>
      <c r="K119">
        <v>0.51</v>
      </c>
      <c r="L119">
        <v>0.51</v>
      </c>
      <c r="M119">
        <v>1.28</v>
      </c>
      <c r="N119">
        <v>0.71</v>
      </c>
      <c r="O119">
        <v>0.71</v>
      </c>
      <c r="P119">
        <v>0.71</v>
      </c>
      <c r="Q119">
        <v>1.76</v>
      </c>
      <c r="R119">
        <v>0</v>
      </c>
      <c r="S119">
        <v>0</v>
      </c>
      <c r="T119">
        <v>0</v>
      </c>
      <c r="U119">
        <v>1.731160896130346E-2</v>
      </c>
      <c r="V119">
        <v>1.731160896130346E-2</v>
      </c>
      <c r="W119">
        <v>1.731160896130346E-2</v>
      </c>
      <c r="X119">
        <v>1.731160896130346E-2</v>
      </c>
      <c r="Y119">
        <v>1.392156862745098</v>
      </c>
      <c r="Z119">
        <v>1.392156862745098</v>
      </c>
      <c r="AA119">
        <v>1.392156862745098</v>
      </c>
      <c r="AB119">
        <v>1.392156862745098</v>
      </c>
      <c r="AC119">
        <v>58.92</v>
      </c>
      <c r="AD119">
        <v>-0.19836734693877539</v>
      </c>
      <c r="AE119">
        <v>1.02</v>
      </c>
      <c r="AF119">
        <v>-0.203125</v>
      </c>
      <c r="AG119">
        <v>1.42</v>
      </c>
      <c r="AH119">
        <v>-0.1931818181818182</v>
      </c>
    </row>
    <row r="120" spans="1:34" x14ac:dyDescent="0.35">
      <c r="A120" t="s">
        <v>39</v>
      </c>
      <c r="B120">
        <v>826729</v>
      </c>
      <c r="C120" t="s">
        <v>72</v>
      </c>
      <c r="D120" t="s">
        <v>1378</v>
      </c>
      <c r="E120" t="s">
        <v>1351</v>
      </c>
      <c r="F120">
        <v>88.73</v>
      </c>
      <c r="G120">
        <v>59.33</v>
      </c>
      <c r="H120">
        <v>59.33</v>
      </c>
      <c r="I120">
        <v>117.6</v>
      </c>
      <c r="J120">
        <v>1.37</v>
      </c>
      <c r="K120">
        <v>0.92</v>
      </c>
      <c r="L120">
        <v>0.92</v>
      </c>
      <c r="M120">
        <v>1.82</v>
      </c>
      <c r="N120">
        <v>1.61</v>
      </c>
      <c r="O120">
        <v>1.08</v>
      </c>
      <c r="P120">
        <v>1.08</v>
      </c>
      <c r="Q120">
        <v>2.14</v>
      </c>
      <c r="R120">
        <v>-0.33134227431533869</v>
      </c>
      <c r="S120">
        <v>-0.32846715328467158</v>
      </c>
      <c r="T120">
        <v>-0.32919254658385089</v>
      </c>
      <c r="U120">
        <v>1.544009917727939E-2</v>
      </c>
      <c r="V120">
        <v>1.5506489128602729E-2</v>
      </c>
      <c r="W120">
        <v>1.5506489128602729E-2</v>
      </c>
      <c r="X120">
        <v>1.5484359144828279E-2</v>
      </c>
      <c r="Y120">
        <v>1.175182481751825</v>
      </c>
      <c r="Z120">
        <v>1.173913043478261</v>
      </c>
      <c r="AA120">
        <v>1.173913043478261</v>
      </c>
      <c r="AB120">
        <v>1.1743361895694491</v>
      </c>
      <c r="AC120">
        <v>148.06</v>
      </c>
      <c r="AD120">
        <v>0.259013605442177</v>
      </c>
      <c r="AE120">
        <v>2.29</v>
      </c>
      <c r="AF120">
        <v>0.25824175824175821</v>
      </c>
      <c r="AG120">
        <v>2.69</v>
      </c>
      <c r="AH120">
        <v>0.25700934579439272</v>
      </c>
    </row>
    <row r="121" spans="1:34" x14ac:dyDescent="0.35">
      <c r="A121" t="s">
        <v>39</v>
      </c>
      <c r="B121">
        <v>828466</v>
      </c>
      <c r="C121" t="s">
        <v>72</v>
      </c>
      <c r="D121" t="s">
        <v>1389</v>
      </c>
      <c r="E121" t="s">
        <v>1390</v>
      </c>
      <c r="F121">
        <v>200</v>
      </c>
      <c r="G121">
        <v>195</v>
      </c>
      <c r="H121">
        <v>0</v>
      </c>
      <c r="I121">
        <v>800</v>
      </c>
      <c r="J121">
        <v>101.33</v>
      </c>
      <c r="K121">
        <v>98.8</v>
      </c>
      <c r="L121">
        <v>0</v>
      </c>
      <c r="M121">
        <v>405.33</v>
      </c>
      <c r="N121">
        <v>2.67</v>
      </c>
      <c r="O121">
        <v>2.6</v>
      </c>
      <c r="P121">
        <v>0</v>
      </c>
      <c r="Q121">
        <v>10.67</v>
      </c>
      <c r="R121">
        <v>-2.5000000000000019E-2</v>
      </c>
      <c r="S121">
        <v>-2.4967926576532129E-2</v>
      </c>
      <c r="T121">
        <v>-2.6217228464419429E-2</v>
      </c>
      <c r="U121">
        <v>0.50665000000000004</v>
      </c>
      <c r="V121">
        <v>0.5066666666666666</v>
      </c>
      <c r="X121">
        <v>0.50665833333333332</v>
      </c>
      <c r="Y121">
        <v>2.634955097207145E-2</v>
      </c>
      <c r="Z121">
        <v>2.6315789473684209E-2</v>
      </c>
      <c r="AB121">
        <v>2.633267022287783E-2</v>
      </c>
      <c r="AC121">
        <v>395</v>
      </c>
      <c r="AD121">
        <v>-0.50624999999999998</v>
      </c>
      <c r="AE121">
        <v>200.13</v>
      </c>
      <c r="AF121">
        <v>-0.50625416327436901</v>
      </c>
      <c r="AG121">
        <v>5.27</v>
      </c>
      <c r="AH121">
        <v>-0.50609184629803194</v>
      </c>
    </row>
    <row r="122" spans="1:34" x14ac:dyDescent="0.35">
      <c r="A122" t="s">
        <v>39</v>
      </c>
      <c r="B122">
        <v>828467</v>
      </c>
      <c r="C122" t="s">
        <v>72</v>
      </c>
      <c r="D122" t="s">
        <v>1402</v>
      </c>
      <c r="E122" t="s">
        <v>1390</v>
      </c>
      <c r="F122">
        <v>500</v>
      </c>
      <c r="G122">
        <v>342</v>
      </c>
      <c r="H122">
        <v>0</v>
      </c>
      <c r="I122">
        <v>750</v>
      </c>
      <c r="J122">
        <v>466.67</v>
      </c>
      <c r="K122">
        <v>319.2</v>
      </c>
      <c r="L122">
        <v>0</v>
      </c>
      <c r="M122">
        <v>700</v>
      </c>
      <c r="N122">
        <v>10</v>
      </c>
      <c r="O122">
        <v>6.84</v>
      </c>
      <c r="P122">
        <v>0</v>
      </c>
      <c r="Q122">
        <v>15</v>
      </c>
      <c r="R122">
        <v>-0.31599999999999989</v>
      </c>
      <c r="S122">
        <v>-0.316004885679388</v>
      </c>
      <c r="T122">
        <v>-0.31600000000000011</v>
      </c>
      <c r="U122">
        <v>0.93334000000000006</v>
      </c>
      <c r="V122">
        <v>0.93333333333333335</v>
      </c>
      <c r="X122">
        <v>0.9333366666666667</v>
      </c>
      <c r="Y122">
        <v>2.142841836844022E-2</v>
      </c>
      <c r="Z122">
        <v>2.1428571428571429E-2</v>
      </c>
      <c r="AB122">
        <v>2.1428494898505821E-2</v>
      </c>
      <c r="AC122">
        <v>842</v>
      </c>
      <c r="AD122">
        <v>0.1226666666666667</v>
      </c>
      <c r="AE122">
        <v>785.87</v>
      </c>
      <c r="AF122">
        <v>0.1226714285714285</v>
      </c>
      <c r="AG122">
        <v>16.84</v>
      </c>
      <c r="AH122">
        <v>0.1226666666666667</v>
      </c>
    </row>
    <row r="123" spans="1:34" x14ac:dyDescent="0.35">
      <c r="A123" t="s">
        <v>39</v>
      </c>
      <c r="B123">
        <v>845983</v>
      </c>
      <c r="C123" t="s">
        <v>72</v>
      </c>
      <c r="D123" t="s">
        <v>1412</v>
      </c>
      <c r="E123" t="s">
        <v>1413</v>
      </c>
      <c r="F123">
        <v>180</v>
      </c>
      <c r="G123">
        <v>173.29</v>
      </c>
      <c r="H123">
        <v>0</v>
      </c>
      <c r="I123">
        <v>220</v>
      </c>
      <c r="J123">
        <v>528</v>
      </c>
      <c r="K123">
        <v>508.31</v>
      </c>
      <c r="L123">
        <v>0</v>
      </c>
      <c r="M123">
        <v>645.33000000000004</v>
      </c>
      <c r="N123">
        <v>13.2</v>
      </c>
      <c r="O123">
        <v>12.71</v>
      </c>
      <c r="P123">
        <v>0</v>
      </c>
      <c r="Q123">
        <v>16.13</v>
      </c>
      <c r="R123">
        <v>-3.7277777777777847E-2</v>
      </c>
      <c r="S123">
        <v>-3.7291666666666612E-2</v>
      </c>
      <c r="T123">
        <v>-3.7121212121211999E-2</v>
      </c>
      <c r="U123">
        <v>2.9333333333333331</v>
      </c>
      <c r="V123">
        <v>2.933291015061458</v>
      </c>
      <c r="X123">
        <v>2.933312174197396</v>
      </c>
      <c r="Y123">
        <v>2.5000000000000001E-2</v>
      </c>
      <c r="Z123">
        <v>2.5004426432688711E-2</v>
      </c>
      <c r="AB123">
        <v>2.5002213216344351E-2</v>
      </c>
      <c r="AC123">
        <v>353.29</v>
      </c>
      <c r="AD123">
        <v>0.60586363636363627</v>
      </c>
      <c r="AE123">
        <v>1036.31</v>
      </c>
      <c r="AF123">
        <v>0.60586056746160866</v>
      </c>
      <c r="AG123">
        <v>25.91</v>
      </c>
      <c r="AH123">
        <v>0.60632362058276512</v>
      </c>
    </row>
    <row r="124" spans="1:34" x14ac:dyDescent="0.35">
      <c r="A124" t="s">
        <v>39</v>
      </c>
      <c r="B124">
        <v>933330</v>
      </c>
      <c r="C124" t="s">
        <v>72</v>
      </c>
      <c r="D124" t="s">
        <v>1426</v>
      </c>
      <c r="E124" t="s">
        <v>1351</v>
      </c>
      <c r="F124">
        <v>180</v>
      </c>
      <c r="G124">
        <v>115.92</v>
      </c>
      <c r="H124">
        <v>70.92</v>
      </c>
      <c r="I124">
        <v>150</v>
      </c>
      <c r="J124">
        <v>136.74</v>
      </c>
      <c r="K124">
        <v>88.06</v>
      </c>
      <c r="L124">
        <v>53.87</v>
      </c>
      <c r="M124">
        <v>113.95</v>
      </c>
      <c r="N124">
        <v>4.88</v>
      </c>
      <c r="O124">
        <v>3.15</v>
      </c>
      <c r="P124">
        <v>1.92</v>
      </c>
      <c r="Q124">
        <v>4.07</v>
      </c>
      <c r="R124">
        <v>-0.35599999999999998</v>
      </c>
      <c r="S124">
        <v>-0.35600409536346361</v>
      </c>
      <c r="T124">
        <v>-0.35450819672131151</v>
      </c>
      <c r="U124">
        <v>0.75966666666666671</v>
      </c>
      <c r="V124">
        <v>0.75966183574879231</v>
      </c>
      <c r="W124">
        <v>0.75958826847151717</v>
      </c>
      <c r="X124">
        <v>0.7596389236289921</v>
      </c>
      <c r="Y124">
        <v>3.5688167324850077E-2</v>
      </c>
      <c r="Z124">
        <v>3.5771065182829888E-2</v>
      </c>
      <c r="AA124">
        <v>3.5641358826805282E-2</v>
      </c>
      <c r="AB124">
        <v>3.570019711149508E-2</v>
      </c>
      <c r="AC124">
        <v>295.92</v>
      </c>
      <c r="AD124">
        <v>0.97280000000000011</v>
      </c>
      <c r="AE124">
        <v>224.8</v>
      </c>
      <c r="AF124">
        <v>0.97279508556384386</v>
      </c>
      <c r="AG124">
        <v>8.0299999999999994</v>
      </c>
      <c r="AH124">
        <v>0.97297297297297258</v>
      </c>
    </row>
    <row r="125" spans="1:34" x14ac:dyDescent="0.35">
      <c r="A125" t="s">
        <v>39</v>
      </c>
      <c r="B125">
        <v>846134</v>
      </c>
      <c r="C125" t="s">
        <v>72</v>
      </c>
      <c r="D125" t="s">
        <v>1442</v>
      </c>
      <c r="E125" t="s">
        <v>1413</v>
      </c>
      <c r="F125">
        <v>119.15</v>
      </c>
      <c r="G125">
        <v>59.15</v>
      </c>
      <c r="H125">
        <v>0</v>
      </c>
      <c r="I125">
        <v>60</v>
      </c>
      <c r="J125">
        <v>139.80000000000001</v>
      </c>
      <c r="K125">
        <v>69.400000000000006</v>
      </c>
      <c r="L125">
        <v>0</v>
      </c>
      <c r="M125">
        <v>70.400000000000006</v>
      </c>
      <c r="N125">
        <v>3.18</v>
      </c>
      <c r="O125">
        <v>1.58</v>
      </c>
      <c r="P125">
        <v>0</v>
      </c>
      <c r="Q125">
        <v>1.6</v>
      </c>
      <c r="R125">
        <v>-0.50356693243810324</v>
      </c>
      <c r="S125">
        <v>-0.50357653791130186</v>
      </c>
      <c r="T125">
        <v>-0.50314465408805031</v>
      </c>
      <c r="U125">
        <v>1.173310952580781</v>
      </c>
      <c r="V125">
        <v>1.1732882502113271</v>
      </c>
      <c r="X125">
        <v>1.1732996013960539</v>
      </c>
      <c r="Y125">
        <v>2.2746781115879831E-2</v>
      </c>
      <c r="Z125">
        <v>2.276657060518732E-2</v>
      </c>
      <c r="AB125">
        <v>2.2756675860533569E-2</v>
      </c>
      <c r="AC125">
        <v>178.3</v>
      </c>
      <c r="AD125">
        <v>1.9716666666666669</v>
      </c>
      <c r="AE125">
        <v>209.2</v>
      </c>
      <c r="AF125">
        <v>1.9715909090909089</v>
      </c>
      <c r="AG125">
        <v>4.76</v>
      </c>
      <c r="AH125">
        <v>1.9750000000000001</v>
      </c>
    </row>
    <row r="126" spans="1:34" x14ac:dyDescent="0.35">
      <c r="A126" t="s">
        <v>39</v>
      </c>
      <c r="B126">
        <v>845981</v>
      </c>
      <c r="C126" t="s">
        <v>72</v>
      </c>
      <c r="D126" t="s">
        <v>1450</v>
      </c>
      <c r="E126" t="s">
        <v>1413</v>
      </c>
      <c r="F126">
        <v>20</v>
      </c>
      <c r="G126">
        <v>15.34</v>
      </c>
      <c r="H126">
        <v>0</v>
      </c>
      <c r="I126">
        <v>80</v>
      </c>
      <c r="J126">
        <v>17.600000000000001</v>
      </c>
      <c r="K126">
        <v>13.5</v>
      </c>
      <c r="L126">
        <v>0</v>
      </c>
      <c r="M126">
        <v>70.400000000000006</v>
      </c>
      <c r="N126">
        <v>0.4</v>
      </c>
      <c r="O126">
        <v>0.31</v>
      </c>
      <c r="P126">
        <v>0</v>
      </c>
      <c r="Q126">
        <v>1.6</v>
      </c>
      <c r="R126">
        <v>-0.23300000000000001</v>
      </c>
      <c r="S126">
        <v>-0.2329545454545455</v>
      </c>
      <c r="T126">
        <v>-0.22500000000000009</v>
      </c>
      <c r="U126">
        <v>0.88000000000000012</v>
      </c>
      <c r="V126">
        <v>0.88005215123859193</v>
      </c>
      <c r="X126">
        <v>0.88002607561929602</v>
      </c>
      <c r="Y126">
        <v>2.2727272727272731E-2</v>
      </c>
      <c r="Z126">
        <v>2.2962962962962959E-2</v>
      </c>
      <c r="AB126">
        <v>2.2845117845117849E-2</v>
      </c>
      <c r="AC126">
        <v>35.340000000000003</v>
      </c>
      <c r="AD126">
        <v>-0.55824999999999991</v>
      </c>
      <c r="AE126">
        <v>31.1</v>
      </c>
      <c r="AF126">
        <v>-0.55823863636363635</v>
      </c>
      <c r="AG126">
        <v>0.71</v>
      </c>
      <c r="AH126">
        <v>-0.55625000000000002</v>
      </c>
    </row>
    <row r="127" spans="1:34" x14ac:dyDescent="0.35">
      <c r="A127" t="s">
        <v>39</v>
      </c>
      <c r="B127">
        <v>845982</v>
      </c>
      <c r="C127" t="s">
        <v>72</v>
      </c>
      <c r="D127" t="s">
        <v>1455</v>
      </c>
      <c r="E127" t="s">
        <v>1413</v>
      </c>
      <c r="F127">
        <v>90</v>
      </c>
      <c r="G127">
        <v>91.47</v>
      </c>
      <c r="H127">
        <v>0</v>
      </c>
      <c r="I127">
        <v>120</v>
      </c>
      <c r="J127">
        <v>220.8</v>
      </c>
      <c r="K127">
        <v>224.4</v>
      </c>
      <c r="L127">
        <v>0</v>
      </c>
      <c r="M127">
        <v>294.39999999999998</v>
      </c>
      <c r="N127">
        <v>5.4</v>
      </c>
      <c r="O127">
        <v>5.49</v>
      </c>
      <c r="P127">
        <v>0</v>
      </c>
      <c r="Q127">
        <v>7.2</v>
      </c>
      <c r="R127">
        <v>1.6333333333333311E-2</v>
      </c>
      <c r="S127">
        <v>1.6304347826086921E-2</v>
      </c>
      <c r="T127">
        <v>1.6666666666666611E-2</v>
      </c>
      <c r="U127">
        <v>2.453333333333334</v>
      </c>
      <c r="V127">
        <v>2.453263365037718</v>
      </c>
      <c r="X127">
        <v>2.453298349185526</v>
      </c>
      <c r="Y127">
        <v>2.4456521739130439E-2</v>
      </c>
      <c r="Z127">
        <v>2.4465240641711229E-2</v>
      </c>
      <c r="AB127">
        <v>2.4460881190420839E-2</v>
      </c>
      <c r="AC127">
        <v>181.47</v>
      </c>
      <c r="AD127">
        <v>0.51225000000000009</v>
      </c>
      <c r="AE127">
        <v>445.2</v>
      </c>
      <c r="AF127">
        <v>0.51222826086956541</v>
      </c>
      <c r="AG127">
        <v>10.89</v>
      </c>
      <c r="AH127">
        <v>0.51249999999999996</v>
      </c>
    </row>
    <row r="128" spans="1:34" x14ac:dyDescent="0.35">
      <c r="A128" t="s">
        <v>39</v>
      </c>
      <c r="B128">
        <v>863045</v>
      </c>
      <c r="C128" t="s">
        <v>72</v>
      </c>
      <c r="D128" t="s">
        <v>1462</v>
      </c>
      <c r="E128" t="s">
        <v>1463</v>
      </c>
      <c r="F128">
        <v>40</v>
      </c>
      <c r="G128">
        <v>8.89</v>
      </c>
      <c r="H128">
        <v>0</v>
      </c>
      <c r="I128">
        <v>40</v>
      </c>
      <c r="J128">
        <v>96</v>
      </c>
      <c r="K128">
        <v>21.33</v>
      </c>
      <c r="L128">
        <v>0</v>
      </c>
      <c r="M128">
        <v>96</v>
      </c>
      <c r="N128">
        <v>2.4</v>
      </c>
      <c r="O128">
        <v>0.53</v>
      </c>
      <c r="P128">
        <v>0</v>
      </c>
      <c r="Q128">
        <v>2.4</v>
      </c>
      <c r="R128">
        <v>-0.77774999999999994</v>
      </c>
      <c r="S128">
        <v>-0.77781250000000002</v>
      </c>
      <c r="T128">
        <v>-0.77916666666666667</v>
      </c>
      <c r="U128">
        <v>2.4</v>
      </c>
      <c r="V128">
        <v>2.3993250843644538</v>
      </c>
      <c r="X128">
        <v>2.3996625421822269</v>
      </c>
      <c r="Y128">
        <v>2.5000000000000001E-2</v>
      </c>
      <c r="Z128">
        <v>2.484763244256916E-2</v>
      </c>
      <c r="AB128">
        <v>2.4923816221284579E-2</v>
      </c>
      <c r="AC128">
        <v>48.89</v>
      </c>
      <c r="AD128">
        <v>0.22225000000000009</v>
      </c>
      <c r="AE128">
        <v>117.33</v>
      </c>
      <c r="AF128">
        <v>0.22218750000000001</v>
      </c>
      <c r="AG128">
        <v>2.93</v>
      </c>
      <c r="AH128">
        <v>0.22083333333333319</v>
      </c>
    </row>
    <row r="129" spans="1:34" x14ac:dyDescent="0.35">
      <c r="A129" t="s">
        <v>39</v>
      </c>
      <c r="B129">
        <v>863050</v>
      </c>
      <c r="C129" t="s">
        <v>72</v>
      </c>
      <c r="D129" t="s">
        <v>1471</v>
      </c>
      <c r="E129" t="s">
        <v>1463</v>
      </c>
      <c r="F129">
        <v>40</v>
      </c>
      <c r="G129">
        <v>37.94</v>
      </c>
      <c r="H129">
        <v>0</v>
      </c>
      <c r="I129">
        <v>60</v>
      </c>
      <c r="J129">
        <v>69.87</v>
      </c>
      <c r="K129">
        <v>66.260000000000005</v>
      </c>
      <c r="L129">
        <v>0</v>
      </c>
      <c r="M129">
        <v>104.8</v>
      </c>
      <c r="N129">
        <v>1.6</v>
      </c>
      <c r="O129">
        <v>1.52</v>
      </c>
      <c r="P129">
        <v>0</v>
      </c>
      <c r="Q129">
        <v>2.4</v>
      </c>
      <c r="R129">
        <v>-5.1500000000000101E-2</v>
      </c>
      <c r="S129">
        <v>-5.1667382281379681E-2</v>
      </c>
      <c r="T129">
        <v>-5.0000000000000037E-2</v>
      </c>
      <c r="U129">
        <v>1.74675</v>
      </c>
      <c r="V129">
        <v>1.746441750131787</v>
      </c>
      <c r="X129">
        <v>1.7465958750658941</v>
      </c>
      <c r="Y129">
        <v>2.2899670817232001E-2</v>
      </c>
      <c r="Z129">
        <v>2.293993359492907E-2</v>
      </c>
      <c r="AB129">
        <v>2.2919802206080531E-2</v>
      </c>
      <c r="AC129">
        <v>77.94</v>
      </c>
      <c r="AD129">
        <v>0.29899999999999988</v>
      </c>
      <c r="AE129">
        <v>136.13</v>
      </c>
      <c r="AF129">
        <v>0.29895038167938931</v>
      </c>
      <c r="AG129">
        <v>3.12</v>
      </c>
      <c r="AH129">
        <v>0.3</v>
      </c>
    </row>
    <row r="130" spans="1:34" x14ac:dyDescent="0.35">
      <c r="A130" t="s">
        <v>39</v>
      </c>
      <c r="B130">
        <v>868570</v>
      </c>
      <c r="C130" t="s">
        <v>72</v>
      </c>
      <c r="D130" t="s">
        <v>1479</v>
      </c>
      <c r="E130" t="s">
        <v>215</v>
      </c>
      <c r="F130">
        <v>32.69</v>
      </c>
      <c r="G130">
        <v>32.69</v>
      </c>
      <c r="H130">
        <v>16.260000000000002</v>
      </c>
      <c r="I130">
        <v>0</v>
      </c>
      <c r="J130">
        <v>72.8</v>
      </c>
      <c r="K130">
        <v>72.8</v>
      </c>
      <c r="L130">
        <v>36.21</v>
      </c>
      <c r="M130">
        <v>0</v>
      </c>
      <c r="N130">
        <v>5.67</v>
      </c>
      <c r="O130">
        <v>5.67</v>
      </c>
      <c r="P130">
        <v>2.82</v>
      </c>
      <c r="Q130">
        <v>0</v>
      </c>
      <c r="R130">
        <v>0</v>
      </c>
      <c r="S130">
        <v>0</v>
      </c>
      <c r="T130">
        <v>0</v>
      </c>
      <c r="U130">
        <v>2.2269807280513918</v>
      </c>
      <c r="V130">
        <v>2.2269807280513918</v>
      </c>
      <c r="W130">
        <v>2.226937269372693</v>
      </c>
      <c r="X130">
        <v>2.226966241825159</v>
      </c>
      <c r="Y130">
        <v>7.7884615384615385E-2</v>
      </c>
      <c r="Z130">
        <v>7.7884615384615385E-2</v>
      </c>
      <c r="AA130">
        <v>7.787903893951946E-2</v>
      </c>
      <c r="AB130">
        <v>7.788275656958342E-2</v>
      </c>
      <c r="AC130">
        <v>65.38</v>
      </c>
      <c r="AE130">
        <v>145.6</v>
      </c>
      <c r="AG130">
        <v>11.34</v>
      </c>
    </row>
    <row r="131" spans="1:34" x14ac:dyDescent="0.35">
      <c r="A131" t="s">
        <v>39</v>
      </c>
      <c r="B131">
        <v>868830</v>
      </c>
      <c r="C131" t="s">
        <v>72</v>
      </c>
      <c r="D131" t="s">
        <v>1494</v>
      </c>
      <c r="E131" t="s">
        <v>215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AC131">
        <v>0</v>
      </c>
      <c r="AE131">
        <v>0</v>
      </c>
      <c r="AG131">
        <v>0</v>
      </c>
    </row>
    <row r="132" spans="1:34" x14ac:dyDescent="0.35">
      <c r="A132" t="s">
        <v>39</v>
      </c>
      <c r="B132">
        <v>868832</v>
      </c>
      <c r="C132" t="s">
        <v>72</v>
      </c>
      <c r="D132" t="s">
        <v>1496</v>
      </c>
      <c r="E132" t="s">
        <v>215</v>
      </c>
      <c r="F132">
        <v>114.97</v>
      </c>
      <c r="G132">
        <v>137.81</v>
      </c>
      <c r="H132">
        <v>114.8</v>
      </c>
      <c r="I132">
        <v>115.04</v>
      </c>
      <c r="J132">
        <v>88.14</v>
      </c>
      <c r="K132">
        <v>105.65</v>
      </c>
      <c r="L132">
        <v>88.01</v>
      </c>
      <c r="M132">
        <v>88.19</v>
      </c>
      <c r="N132">
        <v>9.1999999999999993</v>
      </c>
      <c r="O132">
        <v>11.02</v>
      </c>
      <c r="P132">
        <v>9.18</v>
      </c>
      <c r="Q132">
        <v>9.1999999999999993</v>
      </c>
      <c r="R132">
        <v>0.19866052013568769</v>
      </c>
      <c r="S132">
        <v>0.19866122078511461</v>
      </c>
      <c r="T132">
        <v>0.19782608695652179</v>
      </c>
      <c r="U132">
        <v>0.766634774288945</v>
      </c>
      <c r="V132">
        <v>0.7666352224076628</v>
      </c>
      <c r="W132">
        <v>0.76663763066202095</v>
      </c>
      <c r="X132">
        <v>0.76663587578620962</v>
      </c>
      <c r="Y132">
        <v>0.1043793964147946</v>
      </c>
      <c r="Z132">
        <v>0.10430667297681021</v>
      </c>
      <c r="AA132">
        <v>0.1043063288262697</v>
      </c>
      <c r="AB132">
        <v>0.1043307994059582</v>
      </c>
      <c r="AC132">
        <v>252.78</v>
      </c>
      <c r="AD132">
        <v>1.197322670375522</v>
      </c>
      <c r="AE132">
        <v>193.79</v>
      </c>
      <c r="AF132">
        <v>1.197414672865404</v>
      </c>
      <c r="AG132">
        <v>20.22</v>
      </c>
      <c r="AH132">
        <v>1.197826086956522</v>
      </c>
    </row>
    <row r="133" spans="1:34" x14ac:dyDescent="0.35">
      <c r="A133" t="s">
        <v>39</v>
      </c>
      <c r="B133">
        <v>868833</v>
      </c>
      <c r="C133" t="s">
        <v>72</v>
      </c>
      <c r="D133" t="s">
        <v>1512</v>
      </c>
      <c r="E133" t="s">
        <v>215</v>
      </c>
      <c r="F133">
        <v>32.83</v>
      </c>
      <c r="G133">
        <v>32.64</v>
      </c>
      <c r="H133">
        <v>32.64</v>
      </c>
      <c r="I133">
        <v>49.25</v>
      </c>
      <c r="J133">
        <v>35.24</v>
      </c>
      <c r="K133">
        <v>35.03</v>
      </c>
      <c r="L133">
        <v>35.03</v>
      </c>
      <c r="M133">
        <v>52.86</v>
      </c>
      <c r="N133">
        <v>3.94</v>
      </c>
      <c r="O133">
        <v>3.92</v>
      </c>
      <c r="P133">
        <v>3.92</v>
      </c>
      <c r="Q133">
        <v>5.91</v>
      </c>
      <c r="R133">
        <v>-5.7873895826986432E-3</v>
      </c>
      <c r="S133">
        <v>-5.9591373439273898E-3</v>
      </c>
      <c r="T133">
        <v>-5.0761421319797106E-3</v>
      </c>
      <c r="U133">
        <v>1.073408467864758</v>
      </c>
      <c r="V133">
        <v>1.0732230392156861</v>
      </c>
      <c r="W133">
        <v>1.0732230392156861</v>
      </c>
      <c r="X133">
        <v>1.073284848765377</v>
      </c>
      <c r="Y133">
        <v>0.1118047673098751</v>
      </c>
      <c r="Z133">
        <v>0.1119040822152441</v>
      </c>
      <c r="AA133">
        <v>0.1119040822152441</v>
      </c>
      <c r="AB133">
        <v>0.11187097724678779</v>
      </c>
      <c r="AC133">
        <v>65.47</v>
      </c>
      <c r="AD133">
        <v>0.32934010152284249</v>
      </c>
      <c r="AE133">
        <v>70.27000000000001</v>
      </c>
      <c r="AF133">
        <v>0.3293605751040487</v>
      </c>
      <c r="AG133">
        <v>7.8599999999999994</v>
      </c>
      <c r="AH133">
        <v>0.32994923857868003</v>
      </c>
    </row>
    <row r="134" spans="1:34" x14ac:dyDescent="0.35">
      <c r="A134" t="s">
        <v>39</v>
      </c>
      <c r="B134">
        <v>868834</v>
      </c>
      <c r="C134" t="s">
        <v>72</v>
      </c>
      <c r="D134" t="s">
        <v>1525</v>
      </c>
      <c r="E134" t="s">
        <v>215</v>
      </c>
      <c r="F134">
        <v>8.16</v>
      </c>
      <c r="G134">
        <v>8.16</v>
      </c>
      <c r="H134">
        <v>8.16</v>
      </c>
      <c r="I134">
        <v>4.0999999999999996</v>
      </c>
      <c r="J134">
        <v>31.65</v>
      </c>
      <c r="K134">
        <v>31.65</v>
      </c>
      <c r="L134">
        <v>31.65</v>
      </c>
      <c r="M134">
        <v>15.92</v>
      </c>
      <c r="N134">
        <v>4.68</v>
      </c>
      <c r="O134">
        <v>4.68</v>
      </c>
      <c r="P134">
        <v>4.68</v>
      </c>
      <c r="Q134">
        <v>2.35</v>
      </c>
      <c r="R134">
        <v>0</v>
      </c>
      <c r="S134">
        <v>0</v>
      </c>
      <c r="T134">
        <v>0</v>
      </c>
      <c r="U134">
        <v>3.8786764705882351</v>
      </c>
      <c r="V134">
        <v>3.8786764705882351</v>
      </c>
      <c r="W134">
        <v>3.8786764705882351</v>
      </c>
      <c r="X134">
        <v>3.8786764705882351</v>
      </c>
      <c r="Y134">
        <v>0.14786729857819911</v>
      </c>
      <c r="Z134">
        <v>0.14786729857819911</v>
      </c>
      <c r="AA134">
        <v>0.14786729857819911</v>
      </c>
      <c r="AB134">
        <v>0.14786729857819911</v>
      </c>
      <c r="AC134">
        <v>16.32</v>
      </c>
      <c r="AD134">
        <v>2.9804878048780492</v>
      </c>
      <c r="AE134">
        <v>63.3</v>
      </c>
      <c r="AF134">
        <v>2.9761306532663321</v>
      </c>
      <c r="AG134">
        <v>9.36</v>
      </c>
      <c r="AH134">
        <v>2.9829787234042549</v>
      </c>
    </row>
    <row r="135" spans="1:34" x14ac:dyDescent="0.35">
      <c r="A135" t="s">
        <v>39</v>
      </c>
      <c r="B135">
        <v>868848</v>
      </c>
      <c r="C135" t="s">
        <v>72</v>
      </c>
      <c r="D135" t="s">
        <v>1538</v>
      </c>
      <c r="E135" t="s">
        <v>245</v>
      </c>
      <c r="F135">
        <v>43.53</v>
      </c>
      <c r="G135">
        <v>50.77</v>
      </c>
      <c r="H135">
        <v>43.52</v>
      </c>
      <c r="I135">
        <v>43.49</v>
      </c>
      <c r="J135">
        <v>62.39</v>
      </c>
      <c r="K135">
        <v>72.77</v>
      </c>
      <c r="L135">
        <v>62.38</v>
      </c>
      <c r="M135">
        <v>62.34</v>
      </c>
      <c r="N135">
        <v>1.45</v>
      </c>
      <c r="O135">
        <v>1.69</v>
      </c>
      <c r="P135">
        <v>1.45</v>
      </c>
      <c r="Q135">
        <v>1.45</v>
      </c>
      <c r="R135">
        <v>0.16632207672869281</v>
      </c>
      <c r="S135">
        <v>0.16637281615643529</v>
      </c>
      <c r="T135">
        <v>0.16551724137931051</v>
      </c>
      <c r="U135">
        <v>1.433264415345739</v>
      </c>
      <c r="V135">
        <v>1.433326767776246</v>
      </c>
      <c r="W135">
        <v>1.4333639705882351</v>
      </c>
      <c r="X135">
        <v>1.433318384570073</v>
      </c>
      <c r="Y135">
        <v>2.32409039910242E-2</v>
      </c>
      <c r="Z135">
        <v>2.3223855984609042E-2</v>
      </c>
      <c r="AA135">
        <v>2.3244629689002889E-2</v>
      </c>
      <c r="AB135">
        <v>2.3236463221545382E-2</v>
      </c>
      <c r="AC135">
        <v>94.300000000000011</v>
      </c>
      <c r="AD135">
        <v>1.168314555070131</v>
      </c>
      <c r="AE135">
        <v>135.16</v>
      </c>
      <c r="AF135">
        <v>1.168110362528072</v>
      </c>
      <c r="AG135">
        <v>3.14</v>
      </c>
      <c r="AH135">
        <v>1.16551724137931</v>
      </c>
    </row>
    <row r="136" spans="1:34" x14ac:dyDescent="0.35">
      <c r="A136" t="s">
        <v>39</v>
      </c>
      <c r="B136">
        <v>868853</v>
      </c>
      <c r="C136" t="s">
        <v>72</v>
      </c>
      <c r="D136" t="s">
        <v>1550</v>
      </c>
      <c r="E136" t="s">
        <v>245</v>
      </c>
      <c r="F136">
        <v>0</v>
      </c>
      <c r="G136">
        <v>0</v>
      </c>
      <c r="H136">
        <v>0</v>
      </c>
      <c r="I136">
        <v>217.47</v>
      </c>
      <c r="J136">
        <v>0</v>
      </c>
      <c r="K136">
        <v>0</v>
      </c>
      <c r="L136">
        <v>0</v>
      </c>
      <c r="M136">
        <v>311.70999999999998</v>
      </c>
      <c r="N136">
        <v>0</v>
      </c>
      <c r="O136">
        <v>0</v>
      </c>
      <c r="P136">
        <v>0</v>
      </c>
      <c r="Q136">
        <v>7.25</v>
      </c>
      <c r="AC136">
        <v>0</v>
      </c>
      <c r="AD136">
        <v>-1</v>
      </c>
      <c r="AE136">
        <v>0</v>
      </c>
      <c r="AF136">
        <v>-1</v>
      </c>
      <c r="AG136">
        <v>0</v>
      </c>
      <c r="AH136">
        <v>-1</v>
      </c>
    </row>
    <row r="137" spans="1:34" x14ac:dyDescent="0.35">
      <c r="A137" t="s">
        <v>39</v>
      </c>
      <c r="B137">
        <v>868869</v>
      </c>
      <c r="C137" t="s">
        <v>72</v>
      </c>
      <c r="D137" t="s">
        <v>1557</v>
      </c>
      <c r="E137" t="s">
        <v>1558</v>
      </c>
      <c r="F137">
        <v>0.93</v>
      </c>
      <c r="G137">
        <v>1.1100000000000001</v>
      </c>
      <c r="H137">
        <v>0.93</v>
      </c>
      <c r="I137">
        <v>0.94</v>
      </c>
      <c r="J137">
        <v>66.86</v>
      </c>
      <c r="K137">
        <v>80.02</v>
      </c>
      <c r="L137">
        <v>66.569999999999993</v>
      </c>
      <c r="M137">
        <v>67.22</v>
      </c>
      <c r="N137">
        <v>1.61</v>
      </c>
      <c r="O137">
        <v>1.92</v>
      </c>
      <c r="P137">
        <v>1.6</v>
      </c>
      <c r="Q137">
        <v>1.61</v>
      </c>
      <c r="R137">
        <v>0.19354838709677419</v>
      </c>
      <c r="S137">
        <v>0.1968291953335326</v>
      </c>
      <c r="T137">
        <v>0.19254658385093151</v>
      </c>
      <c r="U137">
        <v>71.892473118279568</v>
      </c>
      <c r="V137">
        <v>72.090090090090087</v>
      </c>
      <c r="W137">
        <v>71.580645161290306</v>
      </c>
      <c r="X137">
        <v>71.854402789886649</v>
      </c>
      <c r="Y137">
        <v>2.40801675142088E-2</v>
      </c>
      <c r="Z137">
        <v>2.3994001499625099E-2</v>
      </c>
      <c r="AA137">
        <v>2.4034850533273248E-2</v>
      </c>
      <c r="AB137">
        <v>2.403633984903571E-2</v>
      </c>
      <c r="AC137">
        <v>2.04</v>
      </c>
      <c r="AD137">
        <v>1.1702127659574471</v>
      </c>
      <c r="AE137">
        <v>146.88</v>
      </c>
      <c r="AF137">
        <v>1.1850639690568281</v>
      </c>
      <c r="AG137">
        <v>3.53</v>
      </c>
      <c r="AH137">
        <v>1.1925465838509319</v>
      </c>
    </row>
    <row r="138" spans="1:34" x14ac:dyDescent="0.35">
      <c r="A138" t="s">
        <v>39</v>
      </c>
      <c r="B138">
        <v>868871</v>
      </c>
      <c r="C138" t="s">
        <v>72</v>
      </c>
      <c r="D138" t="s">
        <v>1567</v>
      </c>
      <c r="E138" t="s">
        <v>1173</v>
      </c>
      <c r="F138">
        <v>11.04</v>
      </c>
      <c r="G138">
        <v>11.04</v>
      </c>
      <c r="H138">
        <v>11.04</v>
      </c>
      <c r="I138">
        <v>0</v>
      </c>
      <c r="J138">
        <v>28.86</v>
      </c>
      <c r="K138">
        <v>28.86</v>
      </c>
      <c r="L138">
        <v>28.86</v>
      </c>
      <c r="M138">
        <v>0</v>
      </c>
      <c r="N138">
        <v>1.25</v>
      </c>
      <c r="O138">
        <v>1.25</v>
      </c>
      <c r="P138">
        <v>1.25</v>
      </c>
      <c r="Q138">
        <v>0</v>
      </c>
      <c r="R138">
        <v>0</v>
      </c>
      <c r="S138">
        <v>0</v>
      </c>
      <c r="T138">
        <v>0</v>
      </c>
      <c r="U138">
        <v>2.6141304347826089</v>
      </c>
      <c r="V138">
        <v>2.6141304347826089</v>
      </c>
      <c r="W138">
        <v>2.6141304347826089</v>
      </c>
      <c r="X138">
        <v>2.6141304347826089</v>
      </c>
      <c r="Y138">
        <v>4.3312543312543313E-2</v>
      </c>
      <c r="Z138">
        <v>4.3312543312543313E-2</v>
      </c>
      <c r="AA138">
        <v>4.3312543312543313E-2</v>
      </c>
      <c r="AB138">
        <v>4.3312543312543313E-2</v>
      </c>
      <c r="AC138">
        <v>22.08</v>
      </c>
      <c r="AE138">
        <v>57.72</v>
      </c>
      <c r="AG138">
        <v>2.5</v>
      </c>
    </row>
    <row r="139" spans="1:34" x14ac:dyDescent="0.35">
      <c r="A139" t="s">
        <v>39</v>
      </c>
      <c r="B139">
        <v>868876</v>
      </c>
      <c r="C139" t="s">
        <v>72</v>
      </c>
      <c r="D139" t="s">
        <v>1575</v>
      </c>
      <c r="E139" t="s">
        <v>1576</v>
      </c>
      <c r="F139">
        <v>165.5</v>
      </c>
      <c r="G139">
        <v>193.29</v>
      </c>
      <c r="H139">
        <v>165.72</v>
      </c>
      <c r="I139">
        <v>137.85</v>
      </c>
      <c r="J139">
        <v>161.08000000000001</v>
      </c>
      <c r="K139">
        <v>188.14</v>
      </c>
      <c r="L139">
        <v>161.30000000000001</v>
      </c>
      <c r="M139">
        <v>134.16999999999999</v>
      </c>
      <c r="N139">
        <v>49.65</v>
      </c>
      <c r="O139">
        <v>57.99</v>
      </c>
      <c r="P139">
        <v>49.72</v>
      </c>
      <c r="Q139">
        <v>41.36</v>
      </c>
      <c r="R139">
        <v>0.1679154078549849</v>
      </c>
      <c r="S139">
        <v>0.1679910603426866</v>
      </c>
      <c r="T139">
        <v>0.16797583081570999</v>
      </c>
      <c r="U139">
        <v>0.97329305135951671</v>
      </c>
      <c r="V139">
        <v>0.97335609705623671</v>
      </c>
      <c r="W139">
        <v>0.97332850591358921</v>
      </c>
      <c r="X139">
        <v>0.97332588477644755</v>
      </c>
      <c r="Y139">
        <v>0.30823193444251301</v>
      </c>
      <c r="Z139">
        <v>0.30822791538216232</v>
      </c>
      <c r="AA139">
        <v>0.30824550526968381</v>
      </c>
      <c r="AB139">
        <v>0.3082351183647864</v>
      </c>
      <c r="AC139">
        <v>358.79</v>
      </c>
      <c r="AD139">
        <v>1.602756619513964</v>
      </c>
      <c r="AE139">
        <v>349.22</v>
      </c>
      <c r="AF139">
        <v>1.602817321308788</v>
      </c>
      <c r="AG139">
        <v>107.64</v>
      </c>
      <c r="AH139">
        <v>1.6025145067698261</v>
      </c>
    </row>
    <row r="140" spans="1:34" x14ac:dyDescent="0.35">
      <c r="A140" t="s">
        <v>39</v>
      </c>
      <c r="B140">
        <v>868899</v>
      </c>
      <c r="C140" t="s">
        <v>72</v>
      </c>
      <c r="D140" t="s">
        <v>1591</v>
      </c>
      <c r="E140" t="s">
        <v>1592</v>
      </c>
      <c r="F140">
        <v>231</v>
      </c>
      <c r="G140">
        <v>114.56</v>
      </c>
      <c r="H140">
        <v>153.06</v>
      </c>
      <c r="I140">
        <v>154</v>
      </c>
      <c r="J140">
        <v>170.94</v>
      </c>
      <c r="K140">
        <v>84.78</v>
      </c>
      <c r="L140">
        <v>113.27</v>
      </c>
      <c r="M140">
        <v>113.96</v>
      </c>
      <c r="N140">
        <v>4.62</v>
      </c>
      <c r="O140">
        <v>2.29</v>
      </c>
      <c r="P140">
        <v>3.06</v>
      </c>
      <c r="Q140">
        <v>3.08</v>
      </c>
      <c r="R140">
        <v>-0.50406926406926411</v>
      </c>
      <c r="S140">
        <v>-0.50403650403650402</v>
      </c>
      <c r="T140">
        <v>-0.50432900432900429</v>
      </c>
      <c r="U140">
        <v>0.74</v>
      </c>
      <c r="V140">
        <v>0.74004888268156421</v>
      </c>
      <c r="W140">
        <v>0.74003658695936225</v>
      </c>
      <c r="X140">
        <v>0.74002848988030889</v>
      </c>
      <c r="Y140">
        <v>2.7027027027027029E-2</v>
      </c>
      <c r="Z140">
        <v>2.7011087520641661E-2</v>
      </c>
      <c r="AA140">
        <v>2.7015096671669469E-2</v>
      </c>
      <c r="AB140">
        <v>2.701773707311271E-2</v>
      </c>
      <c r="AC140">
        <v>345.56</v>
      </c>
      <c r="AD140">
        <v>1.2438961038961041</v>
      </c>
      <c r="AE140">
        <v>255.72</v>
      </c>
      <c r="AF140">
        <v>1.2439452439452441</v>
      </c>
      <c r="AG140">
        <v>6.91</v>
      </c>
      <c r="AH140">
        <v>1.243506493506493</v>
      </c>
    </row>
    <row r="141" spans="1:34" x14ac:dyDescent="0.35">
      <c r="A141" t="s">
        <v>39</v>
      </c>
      <c r="B141">
        <v>868900</v>
      </c>
      <c r="C141" t="s">
        <v>72</v>
      </c>
      <c r="D141" t="s">
        <v>1610</v>
      </c>
      <c r="E141" t="s">
        <v>1592</v>
      </c>
      <c r="F141">
        <v>155.88</v>
      </c>
      <c r="G141">
        <v>181.42</v>
      </c>
      <c r="H141">
        <v>155.43</v>
      </c>
      <c r="I141">
        <v>155.93</v>
      </c>
      <c r="J141">
        <v>286.81</v>
      </c>
      <c r="K141">
        <v>333.81</v>
      </c>
      <c r="L141">
        <v>285.99</v>
      </c>
      <c r="M141">
        <v>286.91000000000003</v>
      </c>
      <c r="N141">
        <v>7.27</v>
      </c>
      <c r="O141">
        <v>8.4700000000000006</v>
      </c>
      <c r="P141">
        <v>7.25</v>
      </c>
      <c r="Q141">
        <v>7.28</v>
      </c>
      <c r="R141">
        <v>0.16384398255067989</v>
      </c>
      <c r="S141">
        <v>0.16387155259579519</v>
      </c>
      <c r="T141">
        <v>0.16506189821182951</v>
      </c>
      <c r="U141">
        <v>1.839940980241211</v>
      </c>
      <c r="V141">
        <v>1.8399845661999781</v>
      </c>
      <c r="W141">
        <v>1.839992279482725</v>
      </c>
      <c r="X141">
        <v>1.8399726086413051</v>
      </c>
      <c r="Y141">
        <v>2.5347791220668731E-2</v>
      </c>
      <c r="Z141">
        <v>2.5373715586711001E-2</v>
      </c>
      <c r="AA141">
        <v>2.535053673205357E-2</v>
      </c>
      <c r="AB141">
        <v>2.5357347846477769E-2</v>
      </c>
      <c r="AC141">
        <v>337.3</v>
      </c>
      <c r="AD141">
        <v>1.1631501314692489</v>
      </c>
      <c r="AE141">
        <v>620.62</v>
      </c>
      <c r="AF141">
        <v>1.1631173538740369</v>
      </c>
      <c r="AG141">
        <v>15.74</v>
      </c>
      <c r="AH141">
        <v>1.162087912087912</v>
      </c>
    </row>
    <row r="142" spans="1:34" x14ac:dyDescent="0.35">
      <c r="A142" t="s">
        <v>39</v>
      </c>
      <c r="B142">
        <v>868901</v>
      </c>
      <c r="C142" t="s">
        <v>72</v>
      </c>
      <c r="D142" t="s">
        <v>1627</v>
      </c>
      <c r="E142" t="s">
        <v>1628</v>
      </c>
      <c r="F142">
        <v>38.979999999999997</v>
      </c>
      <c r="G142">
        <v>38.979999999999997</v>
      </c>
      <c r="H142">
        <v>38.979999999999997</v>
      </c>
      <c r="I142">
        <v>39.36</v>
      </c>
      <c r="J142">
        <v>43.91</v>
      </c>
      <c r="K142">
        <v>43.91</v>
      </c>
      <c r="L142">
        <v>43.91</v>
      </c>
      <c r="M142">
        <v>44.35</v>
      </c>
      <c r="N142">
        <v>7.28</v>
      </c>
      <c r="O142">
        <v>7.28</v>
      </c>
      <c r="P142">
        <v>7.28</v>
      </c>
      <c r="Q142">
        <v>7.35</v>
      </c>
      <c r="R142">
        <v>0</v>
      </c>
      <c r="S142">
        <v>0</v>
      </c>
      <c r="T142">
        <v>0</v>
      </c>
      <c r="U142">
        <v>1.1264751154438171</v>
      </c>
      <c r="V142">
        <v>1.1264751154438171</v>
      </c>
      <c r="W142">
        <v>1.1264751154438171</v>
      </c>
      <c r="X142">
        <v>1.1264751154438171</v>
      </c>
      <c r="Y142">
        <v>0.1657936688681394</v>
      </c>
      <c r="Z142">
        <v>0.1657936688681394</v>
      </c>
      <c r="AA142">
        <v>0.1657936688681394</v>
      </c>
      <c r="AB142">
        <v>0.1657936688681394</v>
      </c>
      <c r="AC142">
        <v>77.959999999999994</v>
      </c>
      <c r="AD142">
        <v>0.9806910569105689</v>
      </c>
      <c r="AE142">
        <v>87.82</v>
      </c>
      <c r="AF142">
        <v>0.98015783540022516</v>
      </c>
      <c r="AG142">
        <v>14.56</v>
      </c>
      <c r="AH142">
        <v>0.98095238095238102</v>
      </c>
    </row>
    <row r="143" spans="1:34" x14ac:dyDescent="0.35">
      <c r="A143" t="s">
        <v>39</v>
      </c>
      <c r="B143">
        <v>868902</v>
      </c>
      <c r="C143" t="s">
        <v>72</v>
      </c>
      <c r="D143" t="s">
        <v>1635</v>
      </c>
      <c r="E143" t="s">
        <v>1628</v>
      </c>
      <c r="F143">
        <v>7.73</v>
      </c>
      <c r="G143">
        <v>11.67</v>
      </c>
      <c r="H143">
        <v>11.67</v>
      </c>
      <c r="I143">
        <v>7.88</v>
      </c>
      <c r="J143">
        <v>63.52</v>
      </c>
      <c r="K143">
        <v>95.9</v>
      </c>
      <c r="L143">
        <v>95.9</v>
      </c>
      <c r="M143">
        <v>64.77</v>
      </c>
      <c r="N143">
        <v>2.52</v>
      </c>
      <c r="O143">
        <v>3.81</v>
      </c>
      <c r="P143">
        <v>3.81</v>
      </c>
      <c r="Q143">
        <v>2.57</v>
      </c>
      <c r="R143">
        <v>0.50970245795601543</v>
      </c>
      <c r="S143">
        <v>0.50976070528967266</v>
      </c>
      <c r="T143">
        <v>0.51190476190476186</v>
      </c>
      <c r="U143">
        <v>8.2173350582147471</v>
      </c>
      <c r="V143">
        <v>8.2176520994001727</v>
      </c>
      <c r="W143">
        <v>8.2176520994001727</v>
      </c>
      <c r="X143">
        <v>8.2175464190050302</v>
      </c>
      <c r="Y143">
        <v>3.9672544080604527E-2</v>
      </c>
      <c r="Z143">
        <v>3.9728884254431697E-2</v>
      </c>
      <c r="AA143">
        <v>3.9728884254431697E-2</v>
      </c>
      <c r="AB143">
        <v>3.9710104196489307E-2</v>
      </c>
      <c r="AC143">
        <v>19.399999999999999</v>
      </c>
      <c r="AD143">
        <v>1.461928934010152</v>
      </c>
      <c r="AE143">
        <v>159.41999999999999</v>
      </c>
      <c r="AF143">
        <v>1.461324687355257</v>
      </c>
      <c r="AG143">
        <v>6.33</v>
      </c>
      <c r="AH143">
        <v>1.463035019455253</v>
      </c>
    </row>
    <row r="144" spans="1:34" x14ac:dyDescent="0.35">
      <c r="A144" t="s">
        <v>39</v>
      </c>
      <c r="B144">
        <v>868903</v>
      </c>
      <c r="C144" t="s">
        <v>72</v>
      </c>
      <c r="D144" t="s">
        <v>1649</v>
      </c>
      <c r="E144" t="s">
        <v>1628</v>
      </c>
      <c r="F144">
        <v>12.71</v>
      </c>
      <c r="G144">
        <v>25.62</v>
      </c>
      <c r="H144">
        <v>12.71</v>
      </c>
      <c r="I144">
        <v>12.91</v>
      </c>
      <c r="J144">
        <v>15.51</v>
      </c>
      <c r="K144">
        <v>31.26</v>
      </c>
      <c r="L144">
        <v>15.51</v>
      </c>
      <c r="M144">
        <v>15.75</v>
      </c>
      <c r="N144">
        <v>4.49</v>
      </c>
      <c r="O144">
        <v>9.0500000000000007</v>
      </c>
      <c r="P144">
        <v>4.49</v>
      </c>
      <c r="Q144">
        <v>4.5599999999999996</v>
      </c>
      <c r="R144">
        <v>1.0157356412273799</v>
      </c>
      <c r="S144">
        <v>1.0154738878143139</v>
      </c>
      <c r="T144">
        <v>1.015590200445434</v>
      </c>
      <c r="U144">
        <v>1.2202989771833199</v>
      </c>
      <c r="V144">
        <v>1.220140515222482</v>
      </c>
      <c r="W144">
        <v>1.2202989771833199</v>
      </c>
      <c r="X144">
        <v>1.220246156529708</v>
      </c>
      <c r="Y144">
        <v>0.28949065119277889</v>
      </c>
      <c r="Z144">
        <v>0.28950735764555341</v>
      </c>
      <c r="AA144">
        <v>0.28949065119277889</v>
      </c>
      <c r="AB144">
        <v>0.2894962200103704</v>
      </c>
      <c r="AC144">
        <v>38.33</v>
      </c>
      <c r="AD144">
        <v>1.9690162664601081</v>
      </c>
      <c r="AE144">
        <v>46.77</v>
      </c>
      <c r="AF144">
        <v>1.9695238095238099</v>
      </c>
      <c r="AG144">
        <v>13.54</v>
      </c>
      <c r="AH144">
        <v>1.969298245614036</v>
      </c>
    </row>
    <row r="145" spans="1:34" x14ac:dyDescent="0.35">
      <c r="A145" t="s">
        <v>39</v>
      </c>
      <c r="B145">
        <v>868855</v>
      </c>
      <c r="C145" t="s">
        <v>72</v>
      </c>
      <c r="D145" t="s">
        <v>1664</v>
      </c>
      <c r="E145" t="s">
        <v>1558</v>
      </c>
      <c r="F145">
        <v>148.86000000000001</v>
      </c>
      <c r="G145">
        <v>148.96</v>
      </c>
      <c r="H145">
        <v>148.96</v>
      </c>
      <c r="I145">
        <v>130.63999999999999</v>
      </c>
      <c r="J145">
        <v>113.14</v>
      </c>
      <c r="K145">
        <v>113.21</v>
      </c>
      <c r="L145">
        <v>113.21</v>
      </c>
      <c r="M145">
        <v>99.29</v>
      </c>
      <c r="N145">
        <v>2.98</v>
      </c>
      <c r="O145">
        <v>2.98</v>
      </c>
      <c r="P145">
        <v>2.98</v>
      </c>
      <c r="Q145">
        <v>2.61</v>
      </c>
      <c r="R145">
        <v>6.7177213489189036E-4</v>
      </c>
      <c r="S145">
        <v>6.1870249248707765E-4</v>
      </c>
      <c r="T145">
        <v>0</v>
      </c>
      <c r="U145">
        <v>0.76004299341663306</v>
      </c>
      <c r="V145">
        <v>0.7600026852846401</v>
      </c>
      <c r="W145">
        <v>0.7600026852846401</v>
      </c>
      <c r="X145">
        <v>0.76001612132863772</v>
      </c>
      <c r="Y145">
        <v>2.6339048965882982E-2</v>
      </c>
      <c r="Z145">
        <v>2.632276300680152E-2</v>
      </c>
      <c r="AA145">
        <v>2.632276300680152E-2</v>
      </c>
      <c r="AB145">
        <v>2.6328191659828679E-2</v>
      </c>
      <c r="AC145">
        <v>297.82000000000011</v>
      </c>
      <c r="AD145">
        <v>1.279699938763013</v>
      </c>
      <c r="AE145">
        <v>226.35</v>
      </c>
      <c r="AF145">
        <v>1.2796857689596131</v>
      </c>
      <c r="AG145">
        <v>5.96</v>
      </c>
      <c r="AH145">
        <v>1.28352490421456</v>
      </c>
    </row>
    <row r="146" spans="1:34" x14ac:dyDescent="0.35">
      <c r="A146" t="s">
        <v>39</v>
      </c>
      <c r="B146">
        <v>868866</v>
      </c>
      <c r="C146" t="s">
        <v>72</v>
      </c>
      <c r="D146" t="s">
        <v>1679</v>
      </c>
      <c r="E146" t="s">
        <v>1558</v>
      </c>
      <c r="F146">
        <v>63.2</v>
      </c>
      <c r="G146">
        <v>69.53</v>
      </c>
      <c r="H146">
        <v>69.53</v>
      </c>
      <c r="I146">
        <v>50.72</v>
      </c>
      <c r="J146">
        <v>107.03</v>
      </c>
      <c r="K146">
        <v>117.74</v>
      </c>
      <c r="L146">
        <v>117.74</v>
      </c>
      <c r="M146">
        <v>85.89</v>
      </c>
      <c r="N146">
        <v>2.5299999999999998</v>
      </c>
      <c r="O146">
        <v>2.78</v>
      </c>
      <c r="P146">
        <v>2.78</v>
      </c>
      <c r="Q146">
        <v>2.0299999999999998</v>
      </c>
      <c r="R146">
        <v>0.1001582278481012</v>
      </c>
      <c r="S146">
        <v>0.10006540222367551</v>
      </c>
      <c r="T146">
        <v>9.8814229249011953E-2</v>
      </c>
      <c r="U146">
        <v>1.6935126582278479</v>
      </c>
      <c r="V146">
        <v>1.6933697684452751</v>
      </c>
      <c r="W146">
        <v>1.6933697684452751</v>
      </c>
      <c r="X146">
        <v>1.6934173983728</v>
      </c>
      <c r="Y146">
        <v>2.363823227132579E-2</v>
      </c>
      <c r="Z146">
        <v>2.3611347035841689E-2</v>
      </c>
      <c r="AA146">
        <v>2.3611347035841689E-2</v>
      </c>
      <c r="AB146">
        <v>2.362030878100306E-2</v>
      </c>
      <c r="AC146">
        <v>132.72999999999999</v>
      </c>
      <c r="AD146">
        <v>1.6169164037854891</v>
      </c>
      <c r="AE146">
        <v>224.77</v>
      </c>
      <c r="AF146">
        <v>1.6169519152404239</v>
      </c>
      <c r="AG146">
        <v>5.31</v>
      </c>
      <c r="AH146">
        <v>1.61576354679803</v>
      </c>
    </row>
    <row r="147" spans="1:34" x14ac:dyDescent="0.35">
      <c r="A147" t="s">
        <v>39</v>
      </c>
      <c r="B147">
        <v>868873</v>
      </c>
      <c r="C147" t="s">
        <v>72</v>
      </c>
      <c r="D147" t="s">
        <v>1696</v>
      </c>
      <c r="E147" t="s">
        <v>1173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AC147">
        <v>0</v>
      </c>
      <c r="AE147">
        <v>0</v>
      </c>
      <c r="AG147">
        <v>0</v>
      </c>
    </row>
    <row r="148" spans="1:34" x14ac:dyDescent="0.35">
      <c r="A148" t="s">
        <v>39</v>
      </c>
      <c r="B148">
        <v>868875</v>
      </c>
      <c r="C148" t="s">
        <v>72</v>
      </c>
      <c r="D148" t="s">
        <v>1702</v>
      </c>
      <c r="E148" t="s">
        <v>1173</v>
      </c>
      <c r="F148">
        <v>12.23</v>
      </c>
      <c r="G148">
        <v>12.23</v>
      </c>
      <c r="H148">
        <v>12.23</v>
      </c>
      <c r="I148">
        <v>0</v>
      </c>
      <c r="J148">
        <v>70.36</v>
      </c>
      <c r="K148">
        <v>70.36</v>
      </c>
      <c r="L148">
        <v>70.36</v>
      </c>
      <c r="M148">
        <v>0</v>
      </c>
      <c r="N148">
        <v>7.58</v>
      </c>
      <c r="O148">
        <v>7.58</v>
      </c>
      <c r="P148">
        <v>7.58</v>
      </c>
      <c r="Q148">
        <v>0</v>
      </c>
      <c r="R148">
        <v>0</v>
      </c>
      <c r="S148">
        <v>0</v>
      </c>
      <c r="T148">
        <v>0</v>
      </c>
      <c r="U148">
        <v>5.7530662305805391</v>
      </c>
      <c r="V148">
        <v>5.7530662305805391</v>
      </c>
      <c r="W148">
        <v>5.7530662305805391</v>
      </c>
      <c r="X148">
        <v>5.7530662305805391</v>
      </c>
      <c r="Y148">
        <v>0.1077316657191586</v>
      </c>
      <c r="Z148">
        <v>0.1077316657191586</v>
      </c>
      <c r="AA148">
        <v>0.1077316657191586</v>
      </c>
      <c r="AB148">
        <v>0.1077316657191586</v>
      </c>
      <c r="AC148">
        <v>24.46</v>
      </c>
      <c r="AE148">
        <v>140.72</v>
      </c>
      <c r="AG148">
        <v>15.16</v>
      </c>
    </row>
    <row r="149" spans="1:34" x14ac:dyDescent="0.35">
      <c r="A149" t="s">
        <v>39</v>
      </c>
      <c r="B149">
        <v>878021</v>
      </c>
      <c r="C149" t="s">
        <v>72</v>
      </c>
      <c r="D149" t="s">
        <v>1710</v>
      </c>
      <c r="E149" t="s">
        <v>943</v>
      </c>
      <c r="F149">
        <v>110.96</v>
      </c>
      <c r="G149">
        <v>30.6</v>
      </c>
      <c r="H149">
        <v>34.44</v>
      </c>
      <c r="I149">
        <v>152</v>
      </c>
      <c r="J149">
        <v>88.3</v>
      </c>
      <c r="K149">
        <v>24.35</v>
      </c>
      <c r="L149">
        <v>27.41</v>
      </c>
      <c r="M149">
        <v>120.97</v>
      </c>
      <c r="N149">
        <v>3.08</v>
      </c>
      <c r="O149">
        <v>0.85</v>
      </c>
      <c r="P149">
        <v>0.96</v>
      </c>
      <c r="Q149">
        <v>4.22</v>
      </c>
      <c r="R149">
        <v>-0.72422494592646003</v>
      </c>
      <c r="S149">
        <v>-0.72423556058890148</v>
      </c>
      <c r="T149">
        <v>-0.72402597402597402</v>
      </c>
      <c r="U149">
        <v>0.7957822638788753</v>
      </c>
      <c r="V149">
        <v>0.79575163398692816</v>
      </c>
      <c r="W149">
        <v>0.79587688734030204</v>
      </c>
      <c r="X149">
        <v>0.7958035950687018</v>
      </c>
      <c r="Y149">
        <v>3.4881087202718007E-2</v>
      </c>
      <c r="Z149">
        <v>3.4907597535934289E-2</v>
      </c>
      <c r="AA149">
        <v>3.5023713973002552E-2</v>
      </c>
      <c r="AB149">
        <v>3.493746623721828E-2</v>
      </c>
      <c r="AC149">
        <v>141.56</v>
      </c>
      <c r="AD149">
        <v>-6.8684210526315792E-2</v>
      </c>
      <c r="AE149">
        <v>112.65</v>
      </c>
      <c r="AF149">
        <v>-6.8777382822187261E-2</v>
      </c>
      <c r="AG149">
        <v>3.93</v>
      </c>
      <c r="AH149">
        <v>-6.8720379146919308E-2</v>
      </c>
    </row>
    <row r="150" spans="1:34" x14ac:dyDescent="0.35">
      <c r="A150" t="s">
        <v>39</v>
      </c>
      <c r="B150">
        <v>882028</v>
      </c>
      <c r="C150" t="s">
        <v>72</v>
      </c>
      <c r="D150" t="s">
        <v>1730</v>
      </c>
      <c r="E150" t="s">
        <v>215</v>
      </c>
      <c r="F150">
        <v>22.6</v>
      </c>
      <c r="G150">
        <v>22.6</v>
      </c>
      <c r="H150">
        <v>22.6</v>
      </c>
      <c r="I150">
        <v>22.6</v>
      </c>
      <c r="J150">
        <v>25.36</v>
      </c>
      <c r="K150">
        <v>25.36</v>
      </c>
      <c r="L150">
        <v>25.36</v>
      </c>
      <c r="M150">
        <v>25.36</v>
      </c>
      <c r="N150">
        <v>1.36</v>
      </c>
      <c r="O150">
        <v>1.36</v>
      </c>
      <c r="P150">
        <v>1.36</v>
      </c>
      <c r="Q150">
        <v>1.36</v>
      </c>
      <c r="R150">
        <v>0</v>
      </c>
      <c r="S150">
        <v>0</v>
      </c>
      <c r="T150">
        <v>0</v>
      </c>
      <c r="U150">
        <v>1.12212389380531</v>
      </c>
      <c r="V150">
        <v>1.12212389380531</v>
      </c>
      <c r="W150">
        <v>1.12212389380531</v>
      </c>
      <c r="X150">
        <v>1.12212389380531</v>
      </c>
      <c r="Y150">
        <v>5.3627760252365937E-2</v>
      </c>
      <c r="Z150">
        <v>5.3627760252365937E-2</v>
      </c>
      <c r="AA150">
        <v>5.3627760252365937E-2</v>
      </c>
      <c r="AB150">
        <v>5.3627760252365937E-2</v>
      </c>
      <c r="AC150">
        <v>45.2</v>
      </c>
      <c r="AD150">
        <v>1</v>
      </c>
      <c r="AE150">
        <v>50.72</v>
      </c>
      <c r="AF150">
        <v>1</v>
      </c>
      <c r="AG150">
        <v>2.72</v>
      </c>
      <c r="AH150">
        <v>1</v>
      </c>
    </row>
    <row r="151" spans="1:34" x14ac:dyDescent="0.35">
      <c r="A151" t="s">
        <v>39</v>
      </c>
      <c r="B151">
        <v>942040</v>
      </c>
      <c r="C151" t="s">
        <v>41</v>
      </c>
      <c r="D151" t="s">
        <v>1736</v>
      </c>
      <c r="E151" t="s">
        <v>74</v>
      </c>
      <c r="F151">
        <v>0.42</v>
      </c>
      <c r="G151">
        <v>0.42</v>
      </c>
      <c r="H151">
        <v>0.42</v>
      </c>
      <c r="I151">
        <v>0</v>
      </c>
      <c r="J151">
        <v>43.17</v>
      </c>
      <c r="K151">
        <v>43.17</v>
      </c>
      <c r="L151">
        <v>43.17</v>
      </c>
      <c r="M151">
        <v>0</v>
      </c>
      <c r="N151">
        <v>1.54</v>
      </c>
      <c r="O151">
        <v>1.54</v>
      </c>
      <c r="P151">
        <v>1.54</v>
      </c>
      <c r="Q151">
        <v>0</v>
      </c>
      <c r="R151">
        <v>0</v>
      </c>
      <c r="S151">
        <v>0</v>
      </c>
      <c r="T151">
        <v>0</v>
      </c>
      <c r="U151">
        <v>102.78571428571431</v>
      </c>
      <c r="V151">
        <v>102.78571428571431</v>
      </c>
      <c r="W151">
        <v>102.78571428571431</v>
      </c>
      <c r="X151">
        <v>102.78571428571431</v>
      </c>
      <c r="Y151">
        <v>3.5672921009960619E-2</v>
      </c>
      <c r="Z151">
        <v>3.5672921009960619E-2</v>
      </c>
      <c r="AA151">
        <v>3.5672921009960619E-2</v>
      </c>
      <c r="AB151">
        <v>3.5672921009960619E-2</v>
      </c>
      <c r="AC151">
        <v>0.84</v>
      </c>
      <c r="AE151">
        <v>86.34</v>
      </c>
      <c r="AG151">
        <v>3.08</v>
      </c>
    </row>
    <row r="152" spans="1:34" x14ac:dyDescent="0.35">
      <c r="A152" t="s">
        <v>39</v>
      </c>
      <c r="B152">
        <v>946579</v>
      </c>
      <c r="C152" t="s">
        <v>41</v>
      </c>
      <c r="D152" t="s">
        <v>1742</v>
      </c>
      <c r="E152" t="s">
        <v>1743</v>
      </c>
      <c r="F152">
        <v>1.82</v>
      </c>
      <c r="G152">
        <v>2.08</v>
      </c>
      <c r="H152">
        <v>1.82</v>
      </c>
      <c r="I152">
        <v>0</v>
      </c>
      <c r="J152">
        <v>187.46</v>
      </c>
      <c r="K152">
        <v>214.24</v>
      </c>
      <c r="L152">
        <v>187.46</v>
      </c>
      <c r="M152">
        <v>0</v>
      </c>
      <c r="N152">
        <v>6.71</v>
      </c>
      <c r="O152">
        <v>7.67</v>
      </c>
      <c r="P152">
        <v>6.71</v>
      </c>
      <c r="Q152">
        <v>0</v>
      </c>
      <c r="R152">
        <v>0.14285714285714279</v>
      </c>
      <c r="S152">
        <v>0.14285714285714279</v>
      </c>
      <c r="T152">
        <v>0.14307004470938889</v>
      </c>
      <c r="U152">
        <v>103</v>
      </c>
      <c r="V152">
        <v>103</v>
      </c>
      <c r="W152">
        <v>103</v>
      </c>
      <c r="X152">
        <v>103</v>
      </c>
      <c r="Y152">
        <v>3.5794302784594043E-2</v>
      </c>
      <c r="Z152">
        <v>3.5800970873786413E-2</v>
      </c>
      <c r="AA152">
        <v>3.5794302784594043E-2</v>
      </c>
      <c r="AB152">
        <v>3.5796525480991499E-2</v>
      </c>
      <c r="AC152">
        <v>3.9</v>
      </c>
      <c r="AE152">
        <v>401.7</v>
      </c>
      <c r="AG152">
        <v>14.38</v>
      </c>
    </row>
    <row r="153" spans="1:34" x14ac:dyDescent="0.35">
      <c r="A153" t="s">
        <v>39</v>
      </c>
      <c r="B153">
        <v>944809</v>
      </c>
      <c r="C153" t="s">
        <v>72</v>
      </c>
      <c r="D153" t="s">
        <v>1748</v>
      </c>
      <c r="E153" t="s">
        <v>692</v>
      </c>
      <c r="F153">
        <v>5.03</v>
      </c>
      <c r="G153">
        <v>5.8</v>
      </c>
      <c r="H153">
        <v>5.8</v>
      </c>
      <c r="I153">
        <v>0</v>
      </c>
      <c r="J153">
        <v>10.39</v>
      </c>
      <c r="K153">
        <v>12</v>
      </c>
      <c r="L153">
        <v>12</v>
      </c>
      <c r="M153">
        <v>0</v>
      </c>
      <c r="N153">
        <v>0.31</v>
      </c>
      <c r="O153">
        <v>0.35</v>
      </c>
      <c r="P153">
        <v>0.35</v>
      </c>
      <c r="Q153">
        <v>0</v>
      </c>
      <c r="R153">
        <v>0.15308151093439351</v>
      </c>
      <c r="S153">
        <v>0.1549566891241578</v>
      </c>
      <c r="T153">
        <v>0.12903225806451599</v>
      </c>
      <c r="U153">
        <v>2.0656063618290261</v>
      </c>
      <c r="V153">
        <v>2.068965517241379</v>
      </c>
      <c r="W153">
        <v>2.068965517241379</v>
      </c>
      <c r="X153">
        <v>2.0678457987705952</v>
      </c>
      <c r="Y153">
        <v>2.9836381135707409E-2</v>
      </c>
      <c r="Z153">
        <v>2.916666666666666E-2</v>
      </c>
      <c r="AA153">
        <v>2.916666666666666E-2</v>
      </c>
      <c r="AB153">
        <v>2.9389904823013579E-2</v>
      </c>
      <c r="AC153">
        <v>10.83</v>
      </c>
      <c r="AE153">
        <v>22.39</v>
      </c>
      <c r="AG153">
        <v>0.65999999999999992</v>
      </c>
    </row>
    <row r="154" spans="1:34" x14ac:dyDescent="0.35">
      <c r="A154" t="s">
        <v>39</v>
      </c>
      <c r="B154">
        <v>944811</v>
      </c>
      <c r="C154" t="s">
        <v>72</v>
      </c>
      <c r="D154" t="s">
        <v>1756</v>
      </c>
      <c r="E154" t="s">
        <v>692</v>
      </c>
      <c r="F154">
        <v>25.06</v>
      </c>
      <c r="G154">
        <v>25.06</v>
      </c>
      <c r="H154">
        <v>25.06</v>
      </c>
      <c r="I154">
        <v>0</v>
      </c>
      <c r="J154">
        <v>15.54</v>
      </c>
      <c r="K154">
        <v>15.54</v>
      </c>
      <c r="L154">
        <v>15.54</v>
      </c>
      <c r="M154">
        <v>0</v>
      </c>
      <c r="N154">
        <v>0.46</v>
      </c>
      <c r="O154">
        <v>0.46</v>
      </c>
      <c r="P154">
        <v>0.46</v>
      </c>
      <c r="Q154">
        <v>0</v>
      </c>
      <c r="R154">
        <v>0</v>
      </c>
      <c r="S154">
        <v>0</v>
      </c>
      <c r="T154">
        <v>0</v>
      </c>
      <c r="U154">
        <v>0.62011173184357538</v>
      </c>
      <c r="V154">
        <v>0.62011173184357538</v>
      </c>
      <c r="W154">
        <v>0.62011173184357538</v>
      </c>
      <c r="X154">
        <v>0.62011173184357538</v>
      </c>
      <c r="Y154">
        <v>2.9601029601029609E-2</v>
      </c>
      <c r="Z154">
        <v>2.9601029601029609E-2</v>
      </c>
      <c r="AA154">
        <v>2.9601029601029609E-2</v>
      </c>
      <c r="AB154">
        <v>2.9601029601029609E-2</v>
      </c>
      <c r="AC154">
        <v>50.12</v>
      </c>
      <c r="AE154">
        <v>31.08</v>
      </c>
      <c r="AG154">
        <v>0.92</v>
      </c>
    </row>
    <row r="155" spans="1:34" x14ac:dyDescent="0.35">
      <c r="A155" t="s">
        <v>39</v>
      </c>
      <c r="B155">
        <v>944810</v>
      </c>
      <c r="C155" t="s">
        <v>72</v>
      </c>
      <c r="D155" t="s">
        <v>1764</v>
      </c>
      <c r="E155" t="s">
        <v>692</v>
      </c>
      <c r="F155">
        <v>1.64</v>
      </c>
      <c r="G155">
        <v>3.28</v>
      </c>
      <c r="H155">
        <v>3.28</v>
      </c>
      <c r="I155">
        <v>0</v>
      </c>
      <c r="J155">
        <v>2.12</v>
      </c>
      <c r="K155">
        <v>4.24</v>
      </c>
      <c r="L155">
        <v>4.24</v>
      </c>
      <c r="M155">
        <v>0</v>
      </c>
      <c r="N155">
        <v>0.16</v>
      </c>
      <c r="O155">
        <v>0.32</v>
      </c>
      <c r="P155">
        <v>0.32</v>
      </c>
      <c r="Q155">
        <v>0</v>
      </c>
      <c r="R155">
        <v>1</v>
      </c>
      <c r="S155">
        <v>1</v>
      </c>
      <c r="T155">
        <v>1</v>
      </c>
      <c r="U155">
        <v>1.2926829268292681</v>
      </c>
      <c r="V155">
        <v>1.2926829268292681</v>
      </c>
      <c r="W155">
        <v>1.2926829268292681</v>
      </c>
      <c r="X155">
        <v>1.2926829268292681</v>
      </c>
      <c r="Y155">
        <v>7.5471698113207544E-2</v>
      </c>
      <c r="Z155">
        <v>7.5471698113207544E-2</v>
      </c>
      <c r="AA155">
        <v>7.5471698113207544E-2</v>
      </c>
      <c r="AB155">
        <v>7.5471698113207544E-2</v>
      </c>
      <c r="AC155">
        <v>4.92</v>
      </c>
      <c r="AE155">
        <v>6.36</v>
      </c>
      <c r="AG155">
        <v>0.48</v>
      </c>
    </row>
    <row r="156" spans="1:34" x14ac:dyDescent="0.35">
      <c r="A156" t="s">
        <v>39</v>
      </c>
      <c r="B156">
        <v>770407</v>
      </c>
      <c r="C156" t="s">
        <v>41</v>
      </c>
      <c r="D156" t="s">
        <v>1770</v>
      </c>
      <c r="E156" t="s">
        <v>1771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AC156">
        <v>0</v>
      </c>
      <c r="AE156">
        <v>0</v>
      </c>
      <c r="AG156">
        <v>0</v>
      </c>
    </row>
    <row r="157" spans="1:34" x14ac:dyDescent="0.35">
      <c r="A157" t="s">
        <v>39</v>
      </c>
      <c r="B157">
        <v>838918</v>
      </c>
      <c r="C157" t="s">
        <v>41</v>
      </c>
      <c r="D157" t="s">
        <v>1775</v>
      </c>
      <c r="E157" t="s">
        <v>1776</v>
      </c>
      <c r="F157">
        <v>1.6</v>
      </c>
      <c r="G157">
        <v>1.96</v>
      </c>
      <c r="H157">
        <v>1.95</v>
      </c>
      <c r="I157">
        <v>2.2000000000000002</v>
      </c>
      <c r="N157">
        <v>352.37</v>
      </c>
      <c r="O157">
        <v>431.4</v>
      </c>
      <c r="P157">
        <v>429.28</v>
      </c>
      <c r="Q157">
        <v>484.51</v>
      </c>
      <c r="R157">
        <v>0.22499999999999989</v>
      </c>
      <c r="T157">
        <v>0.2242812952294462</v>
      </c>
      <c r="AC157">
        <v>3.56</v>
      </c>
      <c r="AD157">
        <v>0.61818181818181817</v>
      </c>
      <c r="AG157">
        <v>783.77</v>
      </c>
      <c r="AH157">
        <v>0.61765495036222151</v>
      </c>
    </row>
    <row r="158" spans="1:34" x14ac:dyDescent="0.35">
      <c r="A158" t="s">
        <v>39</v>
      </c>
      <c r="B158">
        <v>580262</v>
      </c>
      <c r="C158" t="s">
        <v>41</v>
      </c>
      <c r="D158" t="s">
        <v>1799</v>
      </c>
      <c r="E158" t="s">
        <v>1800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AC158">
        <v>0</v>
      </c>
      <c r="AE158">
        <v>0</v>
      </c>
      <c r="AG158">
        <v>0</v>
      </c>
    </row>
    <row r="159" spans="1:34" x14ac:dyDescent="0.35">
      <c r="A159" t="s">
        <v>39</v>
      </c>
      <c r="B159">
        <v>580263</v>
      </c>
      <c r="C159" t="s">
        <v>41</v>
      </c>
      <c r="D159" t="s">
        <v>1804</v>
      </c>
      <c r="E159" t="s">
        <v>1805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AC159">
        <v>0</v>
      </c>
      <c r="AE159">
        <v>0</v>
      </c>
      <c r="AG159">
        <v>0</v>
      </c>
    </row>
    <row r="160" spans="1:34" x14ac:dyDescent="0.35">
      <c r="A160" t="s">
        <v>39</v>
      </c>
      <c r="B160">
        <v>580264</v>
      </c>
      <c r="C160" t="s">
        <v>41</v>
      </c>
      <c r="D160" t="s">
        <v>1810</v>
      </c>
      <c r="E160" t="s">
        <v>1805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AC160">
        <v>0</v>
      </c>
      <c r="AE160">
        <v>0</v>
      </c>
      <c r="AG160">
        <v>0</v>
      </c>
    </row>
    <row r="161" spans="1:34" x14ac:dyDescent="0.35">
      <c r="A161" t="s">
        <v>39</v>
      </c>
      <c r="B161">
        <v>580266</v>
      </c>
      <c r="C161" t="s">
        <v>41</v>
      </c>
      <c r="D161" t="s">
        <v>1815</v>
      </c>
      <c r="E161" t="s">
        <v>1805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AC161">
        <v>0</v>
      </c>
      <c r="AE161">
        <v>0</v>
      </c>
      <c r="AG161">
        <v>0</v>
      </c>
    </row>
    <row r="162" spans="1:34" x14ac:dyDescent="0.35">
      <c r="A162" t="s">
        <v>39</v>
      </c>
      <c r="B162">
        <v>674905</v>
      </c>
      <c r="C162" t="s">
        <v>41</v>
      </c>
      <c r="D162" t="s">
        <v>1821</v>
      </c>
      <c r="E162" t="s">
        <v>1822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AC162">
        <v>0</v>
      </c>
      <c r="AE162">
        <v>0</v>
      </c>
      <c r="AG162">
        <v>0</v>
      </c>
    </row>
    <row r="163" spans="1:34" x14ac:dyDescent="0.35">
      <c r="A163" t="s">
        <v>39</v>
      </c>
      <c r="B163">
        <v>867817</v>
      </c>
      <c r="C163" t="s">
        <v>41</v>
      </c>
      <c r="D163" t="s">
        <v>1827</v>
      </c>
      <c r="E163" t="s">
        <v>1828</v>
      </c>
      <c r="F163">
        <v>19.48</v>
      </c>
      <c r="G163">
        <v>20.9</v>
      </c>
      <c r="H163">
        <v>20.9</v>
      </c>
      <c r="I163">
        <v>10.78</v>
      </c>
      <c r="M163">
        <v>843.25</v>
      </c>
      <c r="N163">
        <v>54.53</v>
      </c>
      <c r="O163">
        <v>58.52</v>
      </c>
      <c r="P163">
        <v>58.52</v>
      </c>
      <c r="Q163">
        <v>30.17</v>
      </c>
      <c r="R163">
        <v>7.2895277207392084E-2</v>
      </c>
      <c r="T163">
        <v>7.3170731707317138E-2</v>
      </c>
      <c r="AC163">
        <v>40.380000000000003</v>
      </c>
      <c r="AD163">
        <v>2.74582560296846</v>
      </c>
      <c r="AG163">
        <v>113.05</v>
      </c>
      <c r="AH163">
        <v>2.7470997679814388</v>
      </c>
    </row>
    <row r="164" spans="1:34" x14ac:dyDescent="0.35">
      <c r="A164" t="s">
        <v>39</v>
      </c>
      <c r="B164">
        <v>584772</v>
      </c>
      <c r="C164" t="s">
        <v>41</v>
      </c>
      <c r="D164" t="s">
        <v>1849</v>
      </c>
      <c r="E164" t="s">
        <v>1850</v>
      </c>
      <c r="F164">
        <v>3</v>
      </c>
      <c r="G164">
        <v>3</v>
      </c>
      <c r="H164">
        <v>3</v>
      </c>
      <c r="I164">
        <v>3</v>
      </c>
      <c r="N164">
        <v>99.66</v>
      </c>
      <c r="O164">
        <v>99.66</v>
      </c>
      <c r="P164">
        <v>99.66</v>
      </c>
      <c r="Q164">
        <v>99.66</v>
      </c>
      <c r="R164">
        <v>0</v>
      </c>
      <c r="T164">
        <v>0</v>
      </c>
      <c r="AC164">
        <v>6</v>
      </c>
      <c r="AD164">
        <v>1</v>
      </c>
      <c r="AG164">
        <v>199.32</v>
      </c>
      <c r="AH164">
        <v>1</v>
      </c>
    </row>
    <row r="165" spans="1:34" x14ac:dyDescent="0.35">
      <c r="A165" t="s">
        <v>39</v>
      </c>
      <c r="B165">
        <v>832626</v>
      </c>
      <c r="C165" t="s">
        <v>41</v>
      </c>
      <c r="D165" t="s">
        <v>1856</v>
      </c>
      <c r="E165" t="s">
        <v>1857</v>
      </c>
      <c r="F165">
        <v>0.2</v>
      </c>
      <c r="G165">
        <v>0.19</v>
      </c>
      <c r="H165">
        <v>0.19</v>
      </c>
      <c r="I165">
        <v>0.2</v>
      </c>
      <c r="J165">
        <v>73.040000000000006</v>
      </c>
      <c r="K165">
        <v>69.39</v>
      </c>
      <c r="L165">
        <v>69.39</v>
      </c>
      <c r="M165">
        <v>73.040000000000006</v>
      </c>
      <c r="N165">
        <v>2.61</v>
      </c>
      <c r="O165">
        <v>2.48</v>
      </c>
      <c r="P165">
        <v>2.48</v>
      </c>
      <c r="Q165">
        <v>2.61</v>
      </c>
      <c r="R165">
        <v>-5.0000000000000037E-2</v>
      </c>
      <c r="S165">
        <v>-4.9972617743702208E-2</v>
      </c>
      <c r="T165">
        <v>-4.9808429118773923E-2</v>
      </c>
      <c r="U165">
        <v>365.2</v>
      </c>
      <c r="V165">
        <v>365.21052631578948</v>
      </c>
      <c r="W165">
        <v>365.21052631578948</v>
      </c>
      <c r="X165">
        <v>365.20701754385959</v>
      </c>
      <c r="Y165">
        <v>3.573384446878422E-2</v>
      </c>
      <c r="Z165">
        <v>3.5740020175817837E-2</v>
      </c>
      <c r="AA165">
        <v>3.5740020175817837E-2</v>
      </c>
      <c r="AB165">
        <v>3.5737961606806638E-2</v>
      </c>
      <c r="AC165">
        <v>0.39</v>
      </c>
      <c r="AD165">
        <v>0.95</v>
      </c>
      <c r="AE165">
        <v>142.43</v>
      </c>
      <c r="AF165">
        <v>0.9500273822562979</v>
      </c>
      <c r="AG165">
        <v>5.09</v>
      </c>
      <c r="AH165">
        <v>0.95019157088122608</v>
      </c>
    </row>
    <row r="166" spans="1:34" x14ac:dyDescent="0.35">
      <c r="A166" t="s">
        <v>39</v>
      </c>
      <c r="B166">
        <v>770409</v>
      </c>
      <c r="C166" t="s">
        <v>41</v>
      </c>
      <c r="D166" t="s">
        <v>1870</v>
      </c>
      <c r="E166" t="s">
        <v>1871</v>
      </c>
      <c r="F166">
        <v>0</v>
      </c>
      <c r="G166">
        <v>0</v>
      </c>
      <c r="H166">
        <v>0</v>
      </c>
      <c r="I166">
        <v>0.1</v>
      </c>
      <c r="J166">
        <v>0</v>
      </c>
      <c r="K166">
        <v>0</v>
      </c>
      <c r="L166">
        <v>0</v>
      </c>
      <c r="M166">
        <v>12.19</v>
      </c>
      <c r="N166">
        <v>0</v>
      </c>
      <c r="O166">
        <v>0</v>
      </c>
      <c r="P166">
        <v>0</v>
      </c>
      <c r="Q166">
        <v>0.44</v>
      </c>
      <c r="AC166">
        <v>0</v>
      </c>
      <c r="AD166">
        <v>-1</v>
      </c>
      <c r="AE166">
        <v>0</v>
      </c>
      <c r="AF166">
        <v>-1</v>
      </c>
      <c r="AG166">
        <v>0</v>
      </c>
      <c r="AH166">
        <v>-1</v>
      </c>
    </row>
    <row r="167" spans="1:34" x14ac:dyDescent="0.35">
      <c r="A167" t="s">
        <v>39</v>
      </c>
      <c r="B167">
        <v>833858</v>
      </c>
      <c r="C167" t="s">
        <v>41</v>
      </c>
      <c r="D167" t="s">
        <v>1877</v>
      </c>
      <c r="E167" t="s">
        <v>1877</v>
      </c>
      <c r="F167">
        <v>25</v>
      </c>
      <c r="G167">
        <v>30</v>
      </c>
      <c r="H167">
        <v>56.98</v>
      </c>
      <c r="I167">
        <v>0</v>
      </c>
      <c r="M167">
        <v>0</v>
      </c>
      <c r="N167">
        <v>93.33</v>
      </c>
      <c r="O167">
        <v>112</v>
      </c>
      <c r="P167">
        <v>212.72</v>
      </c>
      <c r="Q167">
        <v>0</v>
      </c>
      <c r="R167">
        <v>0.2</v>
      </c>
      <c r="T167">
        <v>0.20004285867352409</v>
      </c>
      <c r="AC167">
        <v>55</v>
      </c>
      <c r="AG167">
        <v>205.33</v>
      </c>
    </row>
    <row r="168" spans="1:34" x14ac:dyDescent="0.35">
      <c r="A168" t="s">
        <v>39</v>
      </c>
      <c r="B168">
        <v>841996</v>
      </c>
      <c r="C168" t="s">
        <v>41</v>
      </c>
      <c r="D168" t="s">
        <v>1888</v>
      </c>
      <c r="E168" t="s">
        <v>1877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AC168">
        <v>0</v>
      </c>
      <c r="AE168">
        <v>0</v>
      </c>
      <c r="AG168">
        <v>0</v>
      </c>
    </row>
    <row r="169" spans="1:34" x14ac:dyDescent="0.35">
      <c r="A169" t="s">
        <v>39</v>
      </c>
      <c r="B169">
        <v>782777</v>
      </c>
      <c r="C169" t="s">
        <v>41</v>
      </c>
      <c r="D169" t="s">
        <v>1892</v>
      </c>
      <c r="E169" t="s">
        <v>1892</v>
      </c>
      <c r="F169">
        <v>10.5</v>
      </c>
      <c r="G169">
        <v>8.67</v>
      </c>
      <c r="H169">
        <v>7.67</v>
      </c>
      <c r="I169">
        <v>5</v>
      </c>
      <c r="K169">
        <v>851.91</v>
      </c>
      <c r="L169">
        <v>753.65</v>
      </c>
      <c r="M169">
        <v>491.3</v>
      </c>
      <c r="N169">
        <v>36.89</v>
      </c>
      <c r="O169">
        <v>30.46</v>
      </c>
      <c r="P169">
        <v>26.95</v>
      </c>
      <c r="Q169">
        <v>17.57</v>
      </c>
      <c r="R169">
        <v>-0.17428571428571429</v>
      </c>
      <c r="T169">
        <v>-0.17430197885605861</v>
      </c>
      <c r="V169">
        <v>98.259515570934255</v>
      </c>
      <c r="W169">
        <v>98.259452411994786</v>
      </c>
      <c r="X169">
        <v>98.259483991464521</v>
      </c>
      <c r="Z169">
        <v>3.5754950640325862E-2</v>
      </c>
      <c r="AA169">
        <v>3.5759304717043722E-2</v>
      </c>
      <c r="AB169">
        <v>3.5757127678684789E-2</v>
      </c>
      <c r="AC169">
        <v>19.170000000000002</v>
      </c>
      <c r="AD169">
        <v>2.834000000000001</v>
      </c>
      <c r="AG169">
        <v>67.349999999999994</v>
      </c>
      <c r="AH169">
        <v>2.8332384746727368</v>
      </c>
    </row>
    <row r="170" spans="1:34" x14ac:dyDescent="0.35">
      <c r="A170" t="s">
        <v>39</v>
      </c>
      <c r="B170">
        <v>798100</v>
      </c>
      <c r="C170" t="s">
        <v>41</v>
      </c>
      <c r="D170" t="s">
        <v>1906</v>
      </c>
      <c r="E170" t="s">
        <v>1907</v>
      </c>
      <c r="F170">
        <v>8.4</v>
      </c>
      <c r="G170">
        <v>21.9</v>
      </c>
      <c r="H170">
        <v>26.4</v>
      </c>
      <c r="I170">
        <v>33.6</v>
      </c>
      <c r="J170">
        <v>29.23</v>
      </c>
      <c r="K170">
        <v>76.209999999999994</v>
      </c>
      <c r="L170">
        <v>91.87</v>
      </c>
      <c r="M170">
        <v>116.93</v>
      </c>
      <c r="N170">
        <v>1.06</v>
      </c>
      <c r="O170">
        <v>2.77</v>
      </c>
      <c r="P170">
        <v>3.34</v>
      </c>
      <c r="Q170">
        <v>4.26</v>
      </c>
      <c r="R170">
        <v>1.607142857142857</v>
      </c>
      <c r="S170">
        <v>1.6072528224426961</v>
      </c>
      <c r="T170">
        <v>1.6132075471698111</v>
      </c>
      <c r="U170">
        <v>3.4797619047619048</v>
      </c>
      <c r="V170">
        <v>3.4799086757990869</v>
      </c>
      <c r="W170">
        <v>3.4799242424242429</v>
      </c>
      <c r="X170">
        <v>3.4798649409950779</v>
      </c>
      <c r="Y170">
        <v>3.6264112213479298E-2</v>
      </c>
      <c r="Z170">
        <v>3.6346936097624988E-2</v>
      </c>
      <c r="AA170">
        <v>3.6355720039185802E-2</v>
      </c>
      <c r="AB170">
        <v>3.6322256116763367E-2</v>
      </c>
      <c r="AC170">
        <v>30.3</v>
      </c>
      <c r="AD170">
        <v>-9.8214285714285809E-2</v>
      </c>
      <c r="AE170">
        <v>105.44</v>
      </c>
      <c r="AF170">
        <v>-9.8263918583768151E-2</v>
      </c>
      <c r="AG170">
        <v>3.83</v>
      </c>
      <c r="AH170">
        <v>-0.1009389671361501</v>
      </c>
    </row>
    <row r="171" spans="1:34" x14ac:dyDescent="0.35">
      <c r="A171" t="s">
        <v>39</v>
      </c>
      <c r="B171">
        <v>838877</v>
      </c>
      <c r="C171" t="s">
        <v>41</v>
      </c>
      <c r="D171" t="s">
        <v>1924</v>
      </c>
      <c r="E171" t="s">
        <v>1925</v>
      </c>
      <c r="F171">
        <v>6.11</v>
      </c>
      <c r="G171">
        <v>3.69</v>
      </c>
      <c r="H171">
        <v>1.69</v>
      </c>
      <c r="I171">
        <v>9.6</v>
      </c>
      <c r="J171">
        <v>56.59</v>
      </c>
      <c r="K171">
        <v>34.17</v>
      </c>
      <c r="L171">
        <v>15.65</v>
      </c>
      <c r="M171">
        <v>88.9</v>
      </c>
      <c r="N171">
        <v>2.04</v>
      </c>
      <c r="O171">
        <v>1.23</v>
      </c>
      <c r="P171">
        <v>0.56000000000000005</v>
      </c>
      <c r="Q171">
        <v>3.2</v>
      </c>
      <c r="R171">
        <v>-0.39607201309328982</v>
      </c>
      <c r="S171">
        <v>-0.39618307121399537</v>
      </c>
      <c r="T171">
        <v>-0.3970588235294118</v>
      </c>
      <c r="U171">
        <v>9.2618657937806876</v>
      </c>
      <c r="V171">
        <v>9.2601626016260177</v>
      </c>
      <c r="W171">
        <v>9.2603550295857993</v>
      </c>
      <c r="X171">
        <v>9.2607944749975015</v>
      </c>
      <c r="Y171">
        <v>3.6048771867821169E-2</v>
      </c>
      <c r="Z171">
        <v>3.5996488147497813E-2</v>
      </c>
      <c r="AA171">
        <v>3.5782747603833868E-2</v>
      </c>
      <c r="AB171">
        <v>3.5942669206384281E-2</v>
      </c>
      <c r="AC171">
        <v>9.8000000000000007</v>
      </c>
      <c r="AD171">
        <v>2.0833333333333481E-2</v>
      </c>
      <c r="AE171">
        <v>90.76</v>
      </c>
      <c r="AF171">
        <v>2.0922384701912211E-2</v>
      </c>
      <c r="AG171">
        <v>3.27</v>
      </c>
      <c r="AH171">
        <v>2.187499999999987E-2</v>
      </c>
    </row>
    <row r="172" spans="1:34" x14ac:dyDescent="0.35">
      <c r="A172" t="s">
        <v>39</v>
      </c>
      <c r="B172">
        <v>817403</v>
      </c>
      <c r="C172" t="s">
        <v>41</v>
      </c>
      <c r="D172" t="s">
        <v>1937</v>
      </c>
      <c r="E172" t="s">
        <v>1925</v>
      </c>
      <c r="F172">
        <v>54</v>
      </c>
      <c r="G172">
        <v>42</v>
      </c>
      <c r="H172">
        <v>12</v>
      </c>
      <c r="I172">
        <v>69</v>
      </c>
      <c r="J172">
        <v>662.04</v>
      </c>
      <c r="K172">
        <v>514.91999999999996</v>
      </c>
      <c r="L172">
        <v>147.12</v>
      </c>
      <c r="M172">
        <v>845.94</v>
      </c>
      <c r="N172">
        <v>23.76</v>
      </c>
      <c r="O172">
        <v>18.48</v>
      </c>
      <c r="P172">
        <v>5.28</v>
      </c>
      <c r="Q172">
        <v>30.36</v>
      </c>
      <c r="R172">
        <v>-0.22222222222222221</v>
      </c>
      <c r="S172">
        <v>-0.22222222222222221</v>
      </c>
      <c r="T172">
        <v>-0.22222222222222221</v>
      </c>
      <c r="U172">
        <v>12.26</v>
      </c>
      <c r="V172">
        <v>12.26</v>
      </c>
      <c r="W172">
        <v>12.26</v>
      </c>
      <c r="X172">
        <v>12.26</v>
      </c>
      <c r="Y172">
        <v>3.5889070146818927E-2</v>
      </c>
      <c r="Z172">
        <v>3.5889070146818927E-2</v>
      </c>
      <c r="AA172">
        <v>3.5889070146818927E-2</v>
      </c>
      <c r="AB172">
        <v>3.5889070146818927E-2</v>
      </c>
      <c r="AC172">
        <v>96</v>
      </c>
      <c r="AD172">
        <v>0.39130434782608692</v>
      </c>
      <c r="AE172">
        <v>1176.96</v>
      </c>
      <c r="AF172">
        <v>0.39130434782608692</v>
      </c>
      <c r="AG172">
        <v>42.24</v>
      </c>
      <c r="AH172">
        <v>0.39130434782608708</v>
      </c>
    </row>
    <row r="173" spans="1:34" x14ac:dyDescent="0.35">
      <c r="A173" t="s">
        <v>39</v>
      </c>
      <c r="B173">
        <v>770412</v>
      </c>
      <c r="C173" t="s">
        <v>41</v>
      </c>
      <c r="D173" t="s">
        <v>1952</v>
      </c>
      <c r="E173" t="s">
        <v>1953</v>
      </c>
      <c r="F173">
        <v>11.92</v>
      </c>
      <c r="G173">
        <v>11.85</v>
      </c>
      <c r="H173">
        <v>11.85</v>
      </c>
      <c r="I173">
        <v>0</v>
      </c>
      <c r="J173">
        <v>747.63</v>
      </c>
      <c r="K173">
        <v>743.73</v>
      </c>
      <c r="L173">
        <v>743.73</v>
      </c>
      <c r="M173">
        <v>0</v>
      </c>
      <c r="N173">
        <v>26.77</v>
      </c>
      <c r="O173">
        <v>26.63</v>
      </c>
      <c r="P173">
        <v>26.63</v>
      </c>
      <c r="Q173">
        <v>0</v>
      </c>
      <c r="R173">
        <v>-5.8724832214764877E-3</v>
      </c>
      <c r="S173">
        <v>-5.2164840897235276E-3</v>
      </c>
      <c r="T173">
        <v>-5.2297347777362502E-3</v>
      </c>
      <c r="U173">
        <v>62.720637583892618</v>
      </c>
      <c r="V173">
        <v>62.762025316455698</v>
      </c>
      <c r="W173">
        <v>62.762025316455698</v>
      </c>
      <c r="X173">
        <v>62.748229405601343</v>
      </c>
      <c r="Y173">
        <v>3.580648181587149E-2</v>
      </c>
      <c r="Z173">
        <v>3.5806004867357778E-2</v>
      </c>
      <c r="AA173">
        <v>3.5806004867357778E-2</v>
      </c>
      <c r="AB173">
        <v>3.5806163850195687E-2</v>
      </c>
      <c r="AC173">
        <v>23.77</v>
      </c>
      <c r="AE173">
        <v>1491.36</v>
      </c>
      <c r="AG173">
        <v>53.4</v>
      </c>
    </row>
    <row r="174" spans="1:34" x14ac:dyDescent="0.35">
      <c r="A174" t="s">
        <v>39</v>
      </c>
      <c r="B174">
        <v>770413</v>
      </c>
      <c r="C174" t="s">
        <v>41</v>
      </c>
      <c r="D174" t="s">
        <v>1963</v>
      </c>
      <c r="E174" t="s">
        <v>1953</v>
      </c>
      <c r="F174">
        <v>0</v>
      </c>
      <c r="G174">
        <v>1.28</v>
      </c>
      <c r="H174">
        <v>1.28</v>
      </c>
      <c r="I174">
        <v>11</v>
      </c>
      <c r="J174">
        <v>0</v>
      </c>
      <c r="K174">
        <v>80.349999999999994</v>
      </c>
      <c r="L174">
        <v>80.349999999999994</v>
      </c>
      <c r="M174">
        <v>690.51</v>
      </c>
      <c r="N174">
        <v>0</v>
      </c>
      <c r="O174">
        <v>2.88</v>
      </c>
      <c r="P174">
        <v>2.88</v>
      </c>
      <c r="Q174">
        <v>24.71</v>
      </c>
      <c r="V174">
        <v>62.773437499999993</v>
      </c>
      <c r="W174">
        <v>62.773437499999993</v>
      </c>
      <c r="X174">
        <v>62.773437499999993</v>
      </c>
      <c r="Z174">
        <v>3.5843186060983197E-2</v>
      </c>
      <c r="AA174">
        <v>3.5843186060983197E-2</v>
      </c>
      <c r="AB174">
        <v>3.5843186060983197E-2</v>
      </c>
      <c r="AC174">
        <v>1.28</v>
      </c>
      <c r="AD174">
        <v>-0.88363636363636366</v>
      </c>
      <c r="AE174">
        <v>80.349999999999994</v>
      </c>
      <c r="AF174">
        <v>-0.88363673227035089</v>
      </c>
      <c r="AG174">
        <v>2.88</v>
      </c>
      <c r="AH174">
        <v>-0.88344799676244434</v>
      </c>
    </row>
    <row r="175" spans="1:34" x14ac:dyDescent="0.35">
      <c r="A175" t="s">
        <v>39</v>
      </c>
      <c r="B175">
        <v>770410</v>
      </c>
      <c r="C175" t="s">
        <v>41</v>
      </c>
      <c r="D175" t="s">
        <v>1972</v>
      </c>
      <c r="E175" t="s">
        <v>1973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AC175">
        <v>0</v>
      </c>
      <c r="AE175">
        <v>0</v>
      </c>
      <c r="AG175">
        <v>0</v>
      </c>
    </row>
    <row r="176" spans="1:34" x14ac:dyDescent="0.35">
      <c r="A176" t="s">
        <v>39</v>
      </c>
      <c r="B176">
        <v>789181</v>
      </c>
      <c r="C176" t="s">
        <v>41</v>
      </c>
      <c r="D176" t="s">
        <v>1975</v>
      </c>
      <c r="E176" t="s">
        <v>1976</v>
      </c>
      <c r="F176">
        <v>3</v>
      </c>
      <c r="G176">
        <v>3</v>
      </c>
      <c r="H176">
        <v>3</v>
      </c>
      <c r="I176">
        <v>3</v>
      </c>
      <c r="N176">
        <v>76.98</v>
      </c>
      <c r="O176">
        <v>76.98</v>
      </c>
      <c r="P176">
        <v>76.98</v>
      </c>
      <c r="Q176">
        <v>76.98</v>
      </c>
      <c r="R176">
        <v>0</v>
      </c>
      <c r="T176">
        <v>0</v>
      </c>
      <c r="AC176">
        <v>6</v>
      </c>
      <c r="AD176">
        <v>1</v>
      </c>
      <c r="AG176">
        <v>153.96</v>
      </c>
      <c r="AH176">
        <v>1</v>
      </c>
    </row>
    <row r="177" spans="1:34" x14ac:dyDescent="0.35">
      <c r="A177" t="s">
        <v>39</v>
      </c>
      <c r="B177">
        <v>896095</v>
      </c>
      <c r="C177" t="s">
        <v>41</v>
      </c>
      <c r="D177" t="s">
        <v>1984</v>
      </c>
      <c r="E177" t="s">
        <v>1985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40</v>
      </c>
      <c r="N177">
        <v>0</v>
      </c>
      <c r="O177">
        <v>0</v>
      </c>
      <c r="P177">
        <v>0</v>
      </c>
      <c r="Q177">
        <v>1.43</v>
      </c>
      <c r="AC177">
        <v>0</v>
      </c>
      <c r="AE177">
        <v>0</v>
      </c>
      <c r="AF177">
        <v>-1</v>
      </c>
      <c r="AG177">
        <v>0</v>
      </c>
      <c r="AH177">
        <v>-1</v>
      </c>
    </row>
    <row r="178" spans="1:34" x14ac:dyDescent="0.35">
      <c r="A178" t="s">
        <v>39</v>
      </c>
      <c r="B178">
        <v>761734</v>
      </c>
      <c r="C178" t="s">
        <v>41</v>
      </c>
      <c r="D178" t="s">
        <v>1989</v>
      </c>
      <c r="E178" t="s">
        <v>1925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AC178">
        <v>0</v>
      </c>
      <c r="AE178">
        <v>0</v>
      </c>
      <c r="AG178">
        <v>0</v>
      </c>
    </row>
    <row r="179" spans="1:34" x14ac:dyDescent="0.35">
      <c r="A179" t="s">
        <v>39</v>
      </c>
      <c r="B179">
        <v>757147</v>
      </c>
      <c r="C179" t="s">
        <v>41</v>
      </c>
      <c r="D179" t="s">
        <v>1994</v>
      </c>
      <c r="E179" t="s">
        <v>1995</v>
      </c>
      <c r="F179">
        <v>0</v>
      </c>
      <c r="G179">
        <v>0</v>
      </c>
      <c r="H179">
        <v>0</v>
      </c>
      <c r="I179">
        <v>0.5</v>
      </c>
      <c r="J179">
        <v>0</v>
      </c>
      <c r="K179">
        <v>0</v>
      </c>
      <c r="L179">
        <v>0</v>
      </c>
      <c r="M179">
        <v>46.96</v>
      </c>
      <c r="N179">
        <v>0</v>
      </c>
      <c r="O179">
        <v>0</v>
      </c>
      <c r="P179">
        <v>0</v>
      </c>
      <c r="Q179">
        <v>1.68</v>
      </c>
      <c r="AC179">
        <v>0</v>
      </c>
      <c r="AD179">
        <v>-1</v>
      </c>
      <c r="AE179">
        <v>0</v>
      </c>
      <c r="AF179">
        <v>-1</v>
      </c>
      <c r="AG179">
        <v>0</v>
      </c>
      <c r="AH179">
        <v>-1</v>
      </c>
    </row>
    <row r="180" spans="1:34" x14ac:dyDescent="0.35">
      <c r="A180" t="s">
        <v>39</v>
      </c>
      <c r="B180">
        <v>730736</v>
      </c>
      <c r="C180" t="s">
        <v>41</v>
      </c>
      <c r="D180" t="s">
        <v>1999</v>
      </c>
      <c r="E180" t="s">
        <v>2000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AC180">
        <v>0</v>
      </c>
      <c r="AE180">
        <v>0</v>
      </c>
      <c r="AG180">
        <v>0</v>
      </c>
    </row>
    <row r="181" spans="1:34" x14ac:dyDescent="0.35">
      <c r="A181" t="s">
        <v>39</v>
      </c>
      <c r="B181">
        <v>935941</v>
      </c>
      <c r="C181" t="s">
        <v>72</v>
      </c>
      <c r="D181" t="s">
        <v>2004</v>
      </c>
      <c r="E181" t="s">
        <v>74</v>
      </c>
      <c r="F181">
        <v>17.28</v>
      </c>
      <c r="G181">
        <v>0</v>
      </c>
      <c r="H181">
        <v>17.28</v>
      </c>
      <c r="I181">
        <v>17.2</v>
      </c>
      <c r="J181">
        <v>2.67</v>
      </c>
      <c r="K181">
        <v>0</v>
      </c>
      <c r="L181">
        <v>2.67</v>
      </c>
      <c r="M181">
        <v>2.66</v>
      </c>
      <c r="N181">
        <v>0.18</v>
      </c>
      <c r="O181">
        <v>0</v>
      </c>
      <c r="P181">
        <v>0.18</v>
      </c>
      <c r="Q181">
        <v>0.18</v>
      </c>
      <c r="R181">
        <v>-1</v>
      </c>
      <c r="S181">
        <v>-1</v>
      </c>
      <c r="T181">
        <v>-1</v>
      </c>
      <c r="U181">
        <v>0.1545138888888889</v>
      </c>
      <c r="W181">
        <v>0.1545138888888889</v>
      </c>
      <c r="X181">
        <v>0.1545138888888889</v>
      </c>
      <c r="Y181">
        <v>6.741573033707865E-2</v>
      </c>
      <c r="AA181">
        <v>6.741573033707865E-2</v>
      </c>
      <c r="AB181">
        <v>6.741573033707865E-2</v>
      </c>
      <c r="AC181">
        <v>17.28</v>
      </c>
      <c r="AD181">
        <v>4.6511627906977706E-3</v>
      </c>
      <c r="AE181">
        <v>2.67</v>
      </c>
      <c r="AF181">
        <v>3.759398496240518E-3</v>
      </c>
      <c r="AG181">
        <v>0.18</v>
      </c>
      <c r="AH181">
        <v>0</v>
      </c>
    </row>
    <row r="182" spans="1:34" x14ac:dyDescent="0.35">
      <c r="A182" t="s">
        <v>39</v>
      </c>
      <c r="B182">
        <v>940228</v>
      </c>
      <c r="C182" t="s">
        <v>41</v>
      </c>
      <c r="D182" t="s">
        <v>2011</v>
      </c>
      <c r="E182" t="s">
        <v>74</v>
      </c>
      <c r="F182">
        <v>0.37</v>
      </c>
      <c r="G182">
        <v>0.72</v>
      </c>
      <c r="H182">
        <v>0.36</v>
      </c>
      <c r="I182">
        <v>0.37</v>
      </c>
      <c r="J182">
        <v>38.03</v>
      </c>
      <c r="K182">
        <v>74</v>
      </c>
      <c r="L182">
        <v>37</v>
      </c>
      <c r="M182">
        <v>38.03</v>
      </c>
      <c r="N182">
        <v>1.36</v>
      </c>
      <c r="O182">
        <v>2.64</v>
      </c>
      <c r="P182">
        <v>1.32</v>
      </c>
      <c r="Q182">
        <v>1.36</v>
      </c>
      <c r="R182">
        <v>0.94594594594594583</v>
      </c>
      <c r="S182">
        <v>0.94583223770707336</v>
      </c>
      <c r="T182">
        <v>0.94117647058823528</v>
      </c>
      <c r="U182">
        <v>102.7837837837838</v>
      </c>
      <c r="V182">
        <v>102.7777777777778</v>
      </c>
      <c r="W182">
        <v>102.7777777777778</v>
      </c>
      <c r="X182">
        <v>102.7797797797798</v>
      </c>
      <c r="Y182">
        <v>3.5761241125427293E-2</v>
      </c>
      <c r="Z182">
        <v>3.5675675675675679E-2</v>
      </c>
      <c r="AA182">
        <v>3.5675675675675679E-2</v>
      </c>
      <c r="AB182">
        <v>3.5704197492259553E-2</v>
      </c>
      <c r="AC182">
        <v>1.0900000000000001</v>
      </c>
      <c r="AD182">
        <v>1.9459459459459461</v>
      </c>
      <c r="AE182">
        <v>112.03</v>
      </c>
      <c r="AF182">
        <v>1.9458322377070729</v>
      </c>
      <c r="AG182">
        <v>4</v>
      </c>
      <c r="AH182">
        <v>1.9411764705882351</v>
      </c>
    </row>
    <row r="183" spans="1:34" x14ac:dyDescent="0.35">
      <c r="A183" t="s">
        <v>39</v>
      </c>
      <c r="B183">
        <v>499182</v>
      </c>
      <c r="C183" t="s">
        <v>72</v>
      </c>
      <c r="D183" t="s">
        <v>2017</v>
      </c>
      <c r="E183" t="s">
        <v>2018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AC183">
        <v>0</v>
      </c>
      <c r="AE183">
        <v>0</v>
      </c>
      <c r="AG183">
        <v>0</v>
      </c>
    </row>
    <row r="184" spans="1:34" x14ac:dyDescent="0.35">
      <c r="A184" t="s">
        <v>39</v>
      </c>
      <c r="B184">
        <v>822914</v>
      </c>
      <c r="C184" t="s">
        <v>41</v>
      </c>
      <c r="D184" t="s">
        <v>2023</v>
      </c>
      <c r="E184" t="s">
        <v>2023</v>
      </c>
      <c r="F184">
        <v>0.5</v>
      </c>
      <c r="G184">
        <v>1.82</v>
      </c>
      <c r="H184">
        <v>1.82</v>
      </c>
      <c r="I184">
        <v>0</v>
      </c>
      <c r="J184">
        <v>12.91</v>
      </c>
      <c r="K184">
        <v>47.35</v>
      </c>
      <c r="L184">
        <v>47.35</v>
      </c>
      <c r="M184">
        <v>0</v>
      </c>
      <c r="N184">
        <v>0.46</v>
      </c>
      <c r="O184">
        <v>1.69</v>
      </c>
      <c r="P184">
        <v>1.69</v>
      </c>
      <c r="Q184">
        <v>0</v>
      </c>
      <c r="R184">
        <v>2.64</v>
      </c>
      <c r="S184">
        <v>2.6676994577846629</v>
      </c>
      <c r="T184">
        <v>2.6739130434782612</v>
      </c>
      <c r="U184">
        <v>25.82</v>
      </c>
      <c r="V184">
        <v>26.016483516483511</v>
      </c>
      <c r="W184">
        <v>26.016483516483511</v>
      </c>
      <c r="X184">
        <v>25.950989010989009</v>
      </c>
      <c r="Y184">
        <v>3.5631293570875293E-2</v>
      </c>
      <c r="Z184">
        <v>3.5691657866948258E-2</v>
      </c>
      <c r="AA184">
        <v>3.5691657866948258E-2</v>
      </c>
      <c r="AB184">
        <v>3.5671536434923927E-2</v>
      </c>
      <c r="AC184">
        <v>2.3199999999999998</v>
      </c>
      <c r="AE184">
        <v>60.260000000000012</v>
      </c>
      <c r="AG184">
        <v>2.15</v>
      </c>
    </row>
    <row r="185" spans="1:34" x14ac:dyDescent="0.35">
      <c r="A185" t="s">
        <v>39</v>
      </c>
      <c r="B185">
        <v>822253</v>
      </c>
      <c r="C185" t="s">
        <v>41</v>
      </c>
      <c r="D185" t="s">
        <v>2023</v>
      </c>
      <c r="E185" t="s">
        <v>2023</v>
      </c>
      <c r="F185">
        <v>0</v>
      </c>
      <c r="G185">
        <v>0</v>
      </c>
      <c r="H185">
        <v>0</v>
      </c>
      <c r="I185">
        <v>0.18</v>
      </c>
      <c r="J185">
        <v>0</v>
      </c>
      <c r="K185">
        <v>0</v>
      </c>
      <c r="L185">
        <v>0</v>
      </c>
      <c r="M185">
        <v>3.04</v>
      </c>
      <c r="N185">
        <v>0</v>
      </c>
      <c r="O185">
        <v>0</v>
      </c>
      <c r="P185">
        <v>0</v>
      </c>
      <c r="Q185">
        <v>0.11</v>
      </c>
      <c r="AC185">
        <v>0</v>
      </c>
      <c r="AD185">
        <v>-1</v>
      </c>
      <c r="AE185">
        <v>0</v>
      </c>
      <c r="AF185">
        <v>-1</v>
      </c>
      <c r="AG185">
        <v>0</v>
      </c>
      <c r="AH185">
        <v>-1</v>
      </c>
    </row>
    <row r="186" spans="1:34" x14ac:dyDescent="0.35">
      <c r="A186" t="s">
        <v>39</v>
      </c>
      <c r="B186">
        <v>902632</v>
      </c>
      <c r="C186" t="s">
        <v>41</v>
      </c>
      <c r="D186" t="s">
        <v>2033</v>
      </c>
      <c r="E186" t="s">
        <v>1776</v>
      </c>
      <c r="F186">
        <v>0.4</v>
      </c>
      <c r="G186">
        <v>0.12</v>
      </c>
      <c r="H186">
        <v>0.12</v>
      </c>
      <c r="I186">
        <v>0</v>
      </c>
      <c r="K186">
        <v>789.81</v>
      </c>
      <c r="L186">
        <v>789.81</v>
      </c>
      <c r="M186">
        <v>0</v>
      </c>
      <c r="N186">
        <v>94.18</v>
      </c>
      <c r="O186">
        <v>28.25</v>
      </c>
      <c r="P186">
        <v>28.25</v>
      </c>
      <c r="Q186">
        <v>0</v>
      </c>
      <c r="R186">
        <v>-0.7</v>
      </c>
      <c r="T186">
        <v>-0.70004247186239121</v>
      </c>
      <c r="V186">
        <v>6581.75</v>
      </c>
      <c r="W186">
        <v>6581.75</v>
      </c>
      <c r="X186">
        <v>6581.75</v>
      </c>
      <c r="Z186">
        <v>3.5768096124384349E-2</v>
      </c>
      <c r="AA186">
        <v>3.5768096124384349E-2</v>
      </c>
      <c r="AB186">
        <v>3.5768096124384349E-2</v>
      </c>
      <c r="AC186">
        <v>0.52</v>
      </c>
      <c r="AG186">
        <v>122.43</v>
      </c>
    </row>
    <row r="187" spans="1:34" x14ac:dyDescent="0.35">
      <c r="A187" t="s">
        <v>39</v>
      </c>
      <c r="B187">
        <v>910115</v>
      </c>
      <c r="C187" t="s">
        <v>41</v>
      </c>
      <c r="D187" t="s">
        <v>2042</v>
      </c>
      <c r="E187" t="s">
        <v>2042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AC187">
        <v>0</v>
      </c>
      <c r="AE187">
        <v>0</v>
      </c>
      <c r="AG187">
        <v>0</v>
      </c>
    </row>
    <row r="188" spans="1:34" x14ac:dyDescent="0.35">
      <c r="A188" t="s">
        <v>39</v>
      </c>
      <c r="B188">
        <v>944812</v>
      </c>
      <c r="C188" t="s">
        <v>72</v>
      </c>
      <c r="D188" t="s">
        <v>2047</v>
      </c>
      <c r="E188" t="s">
        <v>692</v>
      </c>
      <c r="F188">
        <v>8.1</v>
      </c>
      <c r="G188">
        <v>8.1</v>
      </c>
      <c r="H188">
        <v>8.1</v>
      </c>
      <c r="I188">
        <v>0</v>
      </c>
      <c r="J188">
        <v>3.15</v>
      </c>
      <c r="K188">
        <v>3.15</v>
      </c>
      <c r="L188">
        <v>3.15</v>
      </c>
      <c r="M188">
        <v>0</v>
      </c>
      <c r="N188">
        <v>0.24</v>
      </c>
      <c r="O188">
        <v>0.24</v>
      </c>
      <c r="P188">
        <v>0.24</v>
      </c>
      <c r="Q188">
        <v>0</v>
      </c>
      <c r="R188">
        <v>0</v>
      </c>
      <c r="S188">
        <v>0</v>
      </c>
      <c r="T188">
        <v>0</v>
      </c>
      <c r="U188">
        <v>0.3888888888888889</v>
      </c>
      <c r="V188">
        <v>0.3888888888888889</v>
      </c>
      <c r="W188">
        <v>0.3888888888888889</v>
      </c>
      <c r="X188">
        <v>0.3888888888888889</v>
      </c>
      <c r="Y188">
        <v>7.6190476190476183E-2</v>
      </c>
      <c r="Z188">
        <v>7.6190476190476183E-2</v>
      </c>
      <c r="AA188">
        <v>7.6190476190476183E-2</v>
      </c>
      <c r="AB188">
        <v>7.6190476190476183E-2</v>
      </c>
      <c r="AC188">
        <v>16.2</v>
      </c>
      <c r="AE188">
        <v>6.3</v>
      </c>
      <c r="AG188">
        <v>0.48</v>
      </c>
    </row>
    <row r="189" spans="1:34" x14ac:dyDescent="0.35">
      <c r="A189" t="s">
        <v>39</v>
      </c>
      <c r="B189">
        <v>944813</v>
      </c>
      <c r="C189" t="s">
        <v>72</v>
      </c>
      <c r="D189" t="s">
        <v>2054</v>
      </c>
      <c r="E189" t="s">
        <v>692</v>
      </c>
      <c r="F189">
        <v>11.68</v>
      </c>
      <c r="G189">
        <v>13.51</v>
      </c>
      <c r="H189">
        <v>13.51</v>
      </c>
      <c r="I189">
        <v>0</v>
      </c>
      <c r="J189">
        <v>15.14</v>
      </c>
      <c r="K189">
        <v>17.510000000000002</v>
      </c>
      <c r="L189">
        <v>17.510000000000002</v>
      </c>
      <c r="M189">
        <v>0</v>
      </c>
      <c r="N189">
        <v>1.47</v>
      </c>
      <c r="O189">
        <v>1.7</v>
      </c>
      <c r="P189">
        <v>1.7</v>
      </c>
      <c r="Q189">
        <v>0</v>
      </c>
      <c r="R189">
        <v>0.15667808219178081</v>
      </c>
      <c r="S189">
        <v>0.1565389696169088</v>
      </c>
      <c r="T189">
        <v>0.15646258503401361</v>
      </c>
      <c r="U189">
        <v>1.296232876712329</v>
      </c>
      <c r="V189">
        <v>1.296076980014804</v>
      </c>
      <c r="W189">
        <v>1.296076980014804</v>
      </c>
      <c r="X189">
        <v>1.296128945580646</v>
      </c>
      <c r="Y189">
        <v>9.709379128137384E-2</v>
      </c>
      <c r="Z189">
        <v>9.7087378640776684E-2</v>
      </c>
      <c r="AA189">
        <v>9.7087378640776684E-2</v>
      </c>
      <c r="AB189">
        <v>9.7089516187642388E-2</v>
      </c>
      <c r="AC189">
        <v>25.19</v>
      </c>
      <c r="AE189">
        <v>32.650000000000013</v>
      </c>
      <c r="AG189">
        <v>3.17</v>
      </c>
    </row>
    <row r="190" spans="1:34" x14ac:dyDescent="0.35">
      <c r="A190" t="s">
        <v>39</v>
      </c>
      <c r="B190">
        <v>907345</v>
      </c>
      <c r="C190" t="s">
        <v>72</v>
      </c>
      <c r="D190" t="s">
        <v>2064</v>
      </c>
      <c r="E190" t="s">
        <v>2065</v>
      </c>
      <c r="F190">
        <v>19.72</v>
      </c>
      <c r="G190">
        <v>19.72</v>
      </c>
      <c r="H190">
        <v>19.72</v>
      </c>
      <c r="I190">
        <v>10</v>
      </c>
      <c r="J190">
        <v>73.010000000000005</v>
      </c>
      <c r="K190">
        <v>73.010000000000005</v>
      </c>
      <c r="L190">
        <v>73.010000000000005</v>
      </c>
      <c r="M190">
        <v>37.03</v>
      </c>
      <c r="N190">
        <v>2.5499999999999998</v>
      </c>
      <c r="O190">
        <v>2.5499999999999998</v>
      </c>
      <c r="P190">
        <v>2.5499999999999998</v>
      </c>
      <c r="Q190">
        <v>1.29</v>
      </c>
      <c r="R190">
        <v>0</v>
      </c>
      <c r="S190">
        <v>0</v>
      </c>
      <c r="T190">
        <v>0</v>
      </c>
      <c r="U190">
        <v>3.7023326572008122</v>
      </c>
      <c r="V190">
        <v>3.7023326572008122</v>
      </c>
      <c r="W190">
        <v>3.7023326572008122</v>
      </c>
      <c r="X190">
        <v>3.7023326572008122</v>
      </c>
      <c r="Y190">
        <v>3.4926722366799057E-2</v>
      </c>
      <c r="Z190">
        <v>3.4926722366799057E-2</v>
      </c>
      <c r="AA190">
        <v>3.4926722366799057E-2</v>
      </c>
      <c r="AB190">
        <v>3.4926722366799057E-2</v>
      </c>
      <c r="AC190">
        <v>39.44</v>
      </c>
      <c r="AD190">
        <v>2.944</v>
      </c>
      <c r="AE190">
        <v>146.02000000000001</v>
      </c>
      <c r="AF190">
        <v>2.9432892249527409</v>
      </c>
      <c r="AG190">
        <v>5.0999999999999996</v>
      </c>
      <c r="AH190">
        <v>2.9534883720930232</v>
      </c>
    </row>
    <row r="191" spans="1:34" x14ac:dyDescent="0.35">
      <c r="A191" t="s">
        <v>39</v>
      </c>
      <c r="B191">
        <v>907348</v>
      </c>
      <c r="C191" t="s">
        <v>72</v>
      </c>
      <c r="D191" t="s">
        <v>2080</v>
      </c>
      <c r="E191" t="s">
        <v>2065</v>
      </c>
      <c r="F191">
        <v>199.69</v>
      </c>
      <c r="G191">
        <v>29.69</v>
      </c>
      <c r="H191">
        <v>29.69</v>
      </c>
      <c r="I191">
        <v>240</v>
      </c>
      <c r="J191">
        <v>739.42</v>
      </c>
      <c r="K191">
        <v>109.94</v>
      </c>
      <c r="L191">
        <v>109.94</v>
      </c>
      <c r="M191">
        <v>888.67</v>
      </c>
      <c r="N191">
        <v>25.79</v>
      </c>
      <c r="O191">
        <v>3.83</v>
      </c>
      <c r="P191">
        <v>3.83</v>
      </c>
      <c r="Q191">
        <v>30.99</v>
      </c>
      <c r="R191">
        <v>-0.85131954529520759</v>
      </c>
      <c r="S191">
        <v>-0.8513158962430013</v>
      </c>
      <c r="T191">
        <v>-0.85149282667700654</v>
      </c>
      <c r="U191">
        <v>3.7028394010716612</v>
      </c>
      <c r="V191">
        <v>3.7029302795554062</v>
      </c>
      <c r="W191">
        <v>3.7029302795554062</v>
      </c>
      <c r="X191">
        <v>3.7028999867274912</v>
      </c>
      <c r="Y191">
        <v>3.4878688701955589E-2</v>
      </c>
      <c r="Z191">
        <v>3.4837183918501012E-2</v>
      </c>
      <c r="AA191">
        <v>3.4837183918501012E-2</v>
      </c>
      <c r="AB191">
        <v>3.48510188463192E-2</v>
      </c>
      <c r="AC191">
        <v>229.38</v>
      </c>
      <c r="AD191">
        <v>-4.4250000000000012E-2</v>
      </c>
      <c r="AE191">
        <v>849.3599999999999</v>
      </c>
      <c r="AF191">
        <v>-4.4234642780784823E-2</v>
      </c>
      <c r="AG191">
        <v>29.62</v>
      </c>
      <c r="AH191">
        <v>-4.4207808970635698E-2</v>
      </c>
    </row>
    <row r="192" spans="1:34" x14ac:dyDescent="0.35">
      <c r="A192" t="s">
        <v>39</v>
      </c>
      <c r="B192">
        <v>907351</v>
      </c>
      <c r="C192" t="s">
        <v>72</v>
      </c>
      <c r="D192" t="s">
        <v>2093</v>
      </c>
      <c r="E192" t="s">
        <v>2094</v>
      </c>
      <c r="F192">
        <v>233.98</v>
      </c>
      <c r="G192">
        <v>252.56</v>
      </c>
      <c r="H192">
        <v>252.56</v>
      </c>
      <c r="I192">
        <v>200</v>
      </c>
      <c r="J192">
        <v>799.91</v>
      </c>
      <c r="K192">
        <v>863.4</v>
      </c>
      <c r="L192">
        <v>863.4</v>
      </c>
      <c r="M192">
        <v>683.73</v>
      </c>
      <c r="N192">
        <v>27.89</v>
      </c>
      <c r="O192">
        <v>30.1</v>
      </c>
      <c r="P192">
        <v>30.1</v>
      </c>
      <c r="Q192">
        <v>23.84</v>
      </c>
      <c r="R192">
        <v>7.9408496452688215E-2</v>
      </c>
      <c r="S192">
        <v>7.937142928579477E-2</v>
      </c>
      <c r="T192">
        <v>7.9239870921477218E-2</v>
      </c>
      <c r="U192">
        <v>3.418711000940251</v>
      </c>
      <c r="V192">
        <v>3.4185936015204308</v>
      </c>
      <c r="W192">
        <v>3.4185936015204308</v>
      </c>
      <c r="X192">
        <v>3.4186327346603709</v>
      </c>
      <c r="Y192">
        <v>3.4866422472528157E-2</v>
      </c>
      <c r="Z192">
        <v>3.4862172805188787E-2</v>
      </c>
      <c r="AA192">
        <v>3.4862172805188787E-2</v>
      </c>
      <c r="AB192">
        <v>3.4863589360968589E-2</v>
      </c>
      <c r="AC192">
        <v>486.54</v>
      </c>
      <c r="AD192">
        <v>1.4327000000000001</v>
      </c>
      <c r="AE192">
        <v>1663.31</v>
      </c>
      <c r="AF192">
        <v>1.432700042414403</v>
      </c>
      <c r="AG192">
        <v>57.99</v>
      </c>
      <c r="AH192">
        <v>1.4324664429530201</v>
      </c>
    </row>
    <row r="193" spans="1:34" x14ac:dyDescent="0.35">
      <c r="A193" t="s">
        <v>39</v>
      </c>
      <c r="B193">
        <v>907352</v>
      </c>
      <c r="C193" t="s">
        <v>72</v>
      </c>
      <c r="D193" t="s">
        <v>2113</v>
      </c>
      <c r="E193" t="s">
        <v>2094</v>
      </c>
      <c r="F193">
        <v>140</v>
      </c>
      <c r="G193">
        <v>140</v>
      </c>
      <c r="H193">
        <v>140</v>
      </c>
      <c r="I193">
        <v>180</v>
      </c>
      <c r="J193">
        <v>478.61</v>
      </c>
      <c r="K193">
        <v>478.61</v>
      </c>
      <c r="L193">
        <v>478.61</v>
      </c>
      <c r="M193">
        <v>615.36</v>
      </c>
      <c r="N193">
        <v>16.690000000000001</v>
      </c>
      <c r="O193">
        <v>16.690000000000001</v>
      </c>
      <c r="P193">
        <v>16.690000000000001</v>
      </c>
      <c r="Q193">
        <v>21.45</v>
      </c>
      <c r="R193">
        <v>0</v>
      </c>
      <c r="S193">
        <v>0</v>
      </c>
      <c r="T193">
        <v>0</v>
      </c>
      <c r="U193">
        <v>3.4186428571428569</v>
      </c>
      <c r="V193">
        <v>3.4186428571428569</v>
      </c>
      <c r="W193">
        <v>3.4186428571428569</v>
      </c>
      <c r="X193">
        <v>3.4186428571428582</v>
      </c>
      <c r="Y193">
        <v>3.4871816301372732E-2</v>
      </c>
      <c r="Z193">
        <v>3.4871816301372732E-2</v>
      </c>
      <c r="AA193">
        <v>3.4871816301372732E-2</v>
      </c>
      <c r="AB193">
        <v>3.4871816301372732E-2</v>
      </c>
      <c r="AC193">
        <v>280</v>
      </c>
      <c r="AD193">
        <v>0.55555555555555558</v>
      </c>
      <c r="AE193">
        <v>957.22</v>
      </c>
      <c r="AF193">
        <v>0.5555447217888716</v>
      </c>
      <c r="AG193">
        <v>33.380000000000003</v>
      </c>
      <c r="AH193">
        <v>0.55617715617715624</v>
      </c>
    </row>
    <row r="194" spans="1:34" x14ac:dyDescent="0.35">
      <c r="A194" t="s">
        <v>39</v>
      </c>
      <c r="B194">
        <v>907353</v>
      </c>
      <c r="C194" t="s">
        <v>72</v>
      </c>
      <c r="D194" t="s">
        <v>2123</v>
      </c>
      <c r="E194" t="s">
        <v>2094</v>
      </c>
      <c r="F194">
        <v>0</v>
      </c>
      <c r="G194">
        <v>6</v>
      </c>
      <c r="H194">
        <v>6</v>
      </c>
      <c r="I194">
        <v>3</v>
      </c>
      <c r="J194">
        <v>0</v>
      </c>
      <c r="K194">
        <v>20.51</v>
      </c>
      <c r="L194">
        <v>20.51</v>
      </c>
      <c r="M194">
        <v>10.26</v>
      </c>
      <c r="N194">
        <v>0</v>
      </c>
      <c r="O194">
        <v>0.72</v>
      </c>
      <c r="P194">
        <v>0.72</v>
      </c>
      <c r="Q194">
        <v>0.36</v>
      </c>
      <c r="V194">
        <v>3.418333333333333</v>
      </c>
      <c r="W194">
        <v>3.418333333333333</v>
      </c>
      <c r="X194">
        <v>3.418333333333333</v>
      </c>
      <c r="Z194">
        <v>3.5104826913700628E-2</v>
      </c>
      <c r="AA194">
        <v>3.5104826913700628E-2</v>
      </c>
      <c r="AB194">
        <v>3.5104826913700628E-2</v>
      </c>
      <c r="AC194">
        <v>6</v>
      </c>
      <c r="AD194">
        <v>1</v>
      </c>
      <c r="AE194">
        <v>20.51</v>
      </c>
      <c r="AF194">
        <v>0.99902534113060448</v>
      </c>
      <c r="AG194">
        <v>0.72</v>
      </c>
      <c r="AH194">
        <v>1</v>
      </c>
    </row>
    <row r="195" spans="1:34" x14ac:dyDescent="0.35">
      <c r="A195" t="s">
        <v>39</v>
      </c>
      <c r="B195">
        <v>907357</v>
      </c>
      <c r="C195" t="s">
        <v>72</v>
      </c>
      <c r="D195" t="s">
        <v>2131</v>
      </c>
      <c r="E195" t="s">
        <v>2094</v>
      </c>
      <c r="F195">
        <v>15</v>
      </c>
      <c r="G195">
        <v>9.5</v>
      </c>
      <c r="H195">
        <v>9.5</v>
      </c>
      <c r="I195">
        <v>18.46</v>
      </c>
      <c r="J195">
        <v>51.28</v>
      </c>
      <c r="K195">
        <v>32.479999999999997</v>
      </c>
      <c r="L195">
        <v>32.479999999999997</v>
      </c>
      <c r="M195">
        <v>63.09</v>
      </c>
      <c r="N195">
        <v>1.79</v>
      </c>
      <c r="O195">
        <v>1.1299999999999999</v>
      </c>
      <c r="P195">
        <v>1.1299999999999999</v>
      </c>
      <c r="Q195">
        <v>2.2000000000000002</v>
      </c>
      <c r="R195">
        <v>-0.3666666666666667</v>
      </c>
      <c r="S195">
        <v>-0.36661466458658348</v>
      </c>
      <c r="T195">
        <v>-0.36871508379888268</v>
      </c>
      <c r="U195">
        <v>3.4186666666666672</v>
      </c>
      <c r="V195">
        <v>3.418947368421053</v>
      </c>
      <c r="W195">
        <v>3.418947368421053</v>
      </c>
      <c r="X195">
        <v>3.418853801169591</v>
      </c>
      <c r="Y195">
        <v>3.4906396255850243E-2</v>
      </c>
      <c r="Z195">
        <v>3.4790640394088669E-2</v>
      </c>
      <c r="AA195">
        <v>3.4790640394088669E-2</v>
      </c>
      <c r="AB195">
        <v>3.4829225681342522E-2</v>
      </c>
      <c r="AC195">
        <v>24.5</v>
      </c>
      <c r="AD195">
        <v>0.32719393282773562</v>
      </c>
      <c r="AE195">
        <v>83.759999999999991</v>
      </c>
      <c r="AF195">
        <v>0.32762719923918188</v>
      </c>
      <c r="AG195">
        <v>2.92</v>
      </c>
      <c r="AH195">
        <v>0.32727272727272722</v>
      </c>
    </row>
    <row r="196" spans="1:34" x14ac:dyDescent="0.35">
      <c r="A196" t="s">
        <v>39</v>
      </c>
      <c r="B196">
        <v>944814</v>
      </c>
      <c r="C196" t="s">
        <v>72</v>
      </c>
      <c r="D196" t="s">
        <v>2141</v>
      </c>
      <c r="E196" t="s">
        <v>692</v>
      </c>
      <c r="F196">
        <v>58.12</v>
      </c>
      <c r="G196">
        <v>41.58</v>
      </c>
      <c r="H196">
        <v>41.58</v>
      </c>
      <c r="I196">
        <v>0</v>
      </c>
      <c r="J196">
        <v>22.6</v>
      </c>
      <c r="K196">
        <v>16.170000000000002</v>
      </c>
      <c r="L196">
        <v>16.170000000000002</v>
      </c>
      <c r="M196">
        <v>0</v>
      </c>
      <c r="N196">
        <v>2.19</v>
      </c>
      <c r="O196">
        <v>1.57</v>
      </c>
      <c r="P196">
        <v>1.57</v>
      </c>
      <c r="Q196">
        <v>0</v>
      </c>
      <c r="R196">
        <v>-0.28458362009635241</v>
      </c>
      <c r="S196">
        <v>-0.28451327433628321</v>
      </c>
      <c r="T196">
        <v>-0.28310502283105021</v>
      </c>
      <c r="U196">
        <v>0.38885065381968348</v>
      </c>
      <c r="V196">
        <v>0.38888888888888901</v>
      </c>
      <c r="W196">
        <v>0.38888888888888901</v>
      </c>
      <c r="X196">
        <v>0.38887614386582048</v>
      </c>
      <c r="Y196">
        <v>9.6902654867256632E-2</v>
      </c>
      <c r="Z196">
        <v>9.7093382807668521E-2</v>
      </c>
      <c r="AA196">
        <v>9.7093382807668521E-2</v>
      </c>
      <c r="AB196">
        <v>9.702980682753122E-2</v>
      </c>
      <c r="AC196">
        <v>99.699999999999989</v>
      </c>
      <c r="AE196">
        <v>38.770000000000003</v>
      </c>
      <c r="AG196">
        <v>3.76</v>
      </c>
    </row>
    <row r="197" spans="1:34" x14ac:dyDescent="0.35">
      <c r="A197" t="s">
        <v>39</v>
      </c>
      <c r="B197">
        <v>885527</v>
      </c>
      <c r="C197" t="s">
        <v>72</v>
      </c>
      <c r="D197" t="s">
        <v>2152</v>
      </c>
      <c r="E197" t="s">
        <v>215</v>
      </c>
      <c r="F197">
        <v>22.37</v>
      </c>
      <c r="G197">
        <v>44.97</v>
      </c>
      <c r="H197">
        <v>44.97</v>
      </c>
      <c r="I197">
        <v>22.6</v>
      </c>
      <c r="J197">
        <v>61.88</v>
      </c>
      <c r="K197">
        <v>124.41</v>
      </c>
      <c r="L197">
        <v>124.41</v>
      </c>
      <c r="M197">
        <v>62.53</v>
      </c>
      <c r="N197">
        <v>1.49</v>
      </c>
      <c r="O197">
        <v>3</v>
      </c>
      <c r="P197">
        <v>3</v>
      </c>
      <c r="Q197">
        <v>1.51</v>
      </c>
      <c r="R197">
        <v>1.0102816271792581</v>
      </c>
      <c r="S197">
        <v>1.010504201680672</v>
      </c>
      <c r="T197">
        <v>1.013422818791947</v>
      </c>
      <c r="U197">
        <v>2.7662047384890478</v>
      </c>
      <c r="V197">
        <v>2.766511007338226</v>
      </c>
      <c r="W197">
        <v>2.766511007338226</v>
      </c>
      <c r="X197">
        <v>2.7664089177218329</v>
      </c>
      <c r="Y197">
        <v>2.407886231415643E-2</v>
      </c>
      <c r="Z197">
        <v>2.411381721726549E-2</v>
      </c>
      <c r="AA197">
        <v>2.411381721726549E-2</v>
      </c>
      <c r="AB197">
        <v>2.410216558289581E-2</v>
      </c>
      <c r="AC197">
        <v>67.34</v>
      </c>
      <c r="AD197">
        <v>1.9796460176991151</v>
      </c>
      <c r="AE197">
        <v>186.29</v>
      </c>
      <c r="AF197">
        <v>1.9792099792099791</v>
      </c>
      <c r="AG197">
        <v>4.49</v>
      </c>
      <c r="AH197">
        <v>1.973509933774835</v>
      </c>
    </row>
    <row r="198" spans="1:34" x14ac:dyDescent="0.35">
      <c r="A198" t="s">
        <v>39</v>
      </c>
      <c r="B198">
        <v>919259</v>
      </c>
      <c r="C198" t="s">
        <v>72</v>
      </c>
      <c r="D198" t="s">
        <v>2162</v>
      </c>
      <c r="E198" t="s">
        <v>245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AC198">
        <v>0</v>
      </c>
      <c r="AE198">
        <v>0</v>
      </c>
      <c r="AG198">
        <v>0</v>
      </c>
    </row>
    <row r="199" spans="1:34" x14ac:dyDescent="0.35">
      <c r="A199" t="s">
        <v>39</v>
      </c>
      <c r="B199">
        <v>919942</v>
      </c>
      <c r="C199" t="s">
        <v>41</v>
      </c>
      <c r="D199" t="s">
        <v>2164</v>
      </c>
      <c r="E199" t="s">
        <v>2165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AC199">
        <v>0</v>
      </c>
      <c r="AE199">
        <v>0</v>
      </c>
      <c r="AG199">
        <v>0</v>
      </c>
    </row>
    <row r="200" spans="1:34" x14ac:dyDescent="0.35">
      <c r="A200" t="s">
        <v>39</v>
      </c>
      <c r="B200">
        <v>915036</v>
      </c>
      <c r="C200" t="s">
        <v>41</v>
      </c>
      <c r="D200" t="s">
        <v>2172</v>
      </c>
      <c r="E200" t="s">
        <v>74</v>
      </c>
      <c r="F200">
        <v>2.2999999999999998</v>
      </c>
      <c r="G200">
        <v>2.2999999999999998</v>
      </c>
      <c r="H200">
        <v>0.99</v>
      </c>
      <c r="I200">
        <v>0</v>
      </c>
      <c r="J200">
        <v>236.39</v>
      </c>
      <c r="K200">
        <v>236.39</v>
      </c>
      <c r="L200">
        <v>101.75</v>
      </c>
      <c r="M200">
        <v>0</v>
      </c>
      <c r="N200">
        <v>8.4499999999999993</v>
      </c>
      <c r="O200">
        <v>8.4499999999999993</v>
      </c>
      <c r="P200">
        <v>3.64</v>
      </c>
      <c r="Q200">
        <v>0</v>
      </c>
      <c r="R200">
        <v>0</v>
      </c>
      <c r="S200">
        <v>0</v>
      </c>
      <c r="T200">
        <v>0</v>
      </c>
      <c r="U200">
        <v>102.7782608695652</v>
      </c>
      <c r="V200">
        <v>102.7782608695652</v>
      </c>
      <c r="W200">
        <v>102.7777777777778</v>
      </c>
      <c r="X200">
        <v>102.7780998389694</v>
      </c>
      <c r="Y200">
        <v>3.5746012944710012E-2</v>
      </c>
      <c r="Z200">
        <v>3.5746012944710012E-2</v>
      </c>
      <c r="AA200">
        <v>3.5773955773955778E-2</v>
      </c>
      <c r="AB200">
        <v>3.5755327221125267E-2</v>
      </c>
      <c r="AC200">
        <v>4.5999999999999996</v>
      </c>
      <c r="AE200">
        <v>472.78</v>
      </c>
      <c r="AG200">
        <v>16.899999999999999</v>
      </c>
    </row>
    <row r="201" spans="1:34" x14ac:dyDescent="0.35">
      <c r="A201" t="s">
        <v>39</v>
      </c>
      <c r="B201">
        <v>915056</v>
      </c>
      <c r="C201" t="s">
        <v>41</v>
      </c>
      <c r="D201" t="s">
        <v>2186</v>
      </c>
      <c r="E201" t="s">
        <v>1743</v>
      </c>
      <c r="F201">
        <v>3</v>
      </c>
      <c r="G201">
        <v>3</v>
      </c>
      <c r="H201">
        <v>3</v>
      </c>
      <c r="I201">
        <v>0</v>
      </c>
      <c r="J201">
        <v>297.39999999999998</v>
      </c>
      <c r="K201">
        <v>297.39999999999998</v>
      </c>
      <c r="L201">
        <v>297.39999999999998</v>
      </c>
      <c r="M201">
        <v>0</v>
      </c>
      <c r="N201">
        <v>10.64</v>
      </c>
      <c r="O201">
        <v>10.64</v>
      </c>
      <c r="P201">
        <v>10.64</v>
      </c>
      <c r="Q201">
        <v>0</v>
      </c>
      <c r="R201">
        <v>0</v>
      </c>
      <c r="S201">
        <v>0</v>
      </c>
      <c r="T201">
        <v>0</v>
      </c>
      <c r="U201">
        <v>99.133333333333326</v>
      </c>
      <c r="V201">
        <v>99.133333333333326</v>
      </c>
      <c r="W201">
        <v>99.133333333333326</v>
      </c>
      <c r="X201">
        <v>99.133333333333326</v>
      </c>
      <c r="Y201">
        <v>3.5776731674512452E-2</v>
      </c>
      <c r="Z201">
        <v>3.5776731674512452E-2</v>
      </c>
      <c r="AA201">
        <v>3.5776731674512452E-2</v>
      </c>
      <c r="AB201">
        <v>3.5776731674512452E-2</v>
      </c>
      <c r="AC201">
        <v>6</v>
      </c>
      <c r="AE201">
        <v>594.79999999999995</v>
      </c>
      <c r="AG201">
        <v>21.28</v>
      </c>
    </row>
    <row r="202" spans="1:34" x14ac:dyDescent="0.35">
      <c r="A202" t="s">
        <v>39</v>
      </c>
      <c r="B202">
        <v>915201</v>
      </c>
      <c r="C202" t="s">
        <v>41</v>
      </c>
      <c r="D202" t="s">
        <v>2193</v>
      </c>
      <c r="E202" t="s">
        <v>2194</v>
      </c>
      <c r="F202">
        <v>4.99</v>
      </c>
      <c r="G202">
        <v>4.99</v>
      </c>
      <c r="H202">
        <v>0.51</v>
      </c>
      <c r="I202">
        <v>0</v>
      </c>
      <c r="J202">
        <v>811.9</v>
      </c>
      <c r="K202">
        <v>811.9</v>
      </c>
      <c r="L202">
        <v>82.93</v>
      </c>
      <c r="M202">
        <v>0</v>
      </c>
      <c r="N202">
        <v>29.06</v>
      </c>
      <c r="O202">
        <v>29.06</v>
      </c>
      <c r="P202">
        <v>2.97</v>
      </c>
      <c r="Q202">
        <v>0</v>
      </c>
      <c r="R202">
        <v>0</v>
      </c>
      <c r="S202">
        <v>0</v>
      </c>
      <c r="T202">
        <v>0</v>
      </c>
      <c r="U202">
        <v>162.70541082164331</v>
      </c>
      <c r="V202">
        <v>162.70541082164331</v>
      </c>
      <c r="W202">
        <v>162.60784313725489</v>
      </c>
      <c r="X202">
        <v>162.67288826018051</v>
      </c>
      <c r="Y202">
        <v>3.579258529375539E-2</v>
      </c>
      <c r="Z202">
        <v>3.579258529375539E-2</v>
      </c>
      <c r="AA202">
        <v>3.5813336548896658E-2</v>
      </c>
      <c r="AB202">
        <v>3.5799502378802479E-2</v>
      </c>
      <c r="AC202">
        <v>9.98</v>
      </c>
      <c r="AE202">
        <v>1623.8</v>
      </c>
      <c r="AG202">
        <v>58.12</v>
      </c>
    </row>
    <row r="203" spans="1:34" x14ac:dyDescent="0.35">
      <c r="A203" t="s">
        <v>39</v>
      </c>
      <c r="B203">
        <v>915200</v>
      </c>
      <c r="C203" t="s">
        <v>41</v>
      </c>
      <c r="D203" t="s">
        <v>2203</v>
      </c>
      <c r="E203" t="s">
        <v>1743</v>
      </c>
      <c r="F203">
        <v>3.33</v>
      </c>
      <c r="G203">
        <v>0</v>
      </c>
      <c r="H203">
        <v>0</v>
      </c>
      <c r="I203">
        <v>0</v>
      </c>
      <c r="J203">
        <v>330.11</v>
      </c>
      <c r="K203">
        <v>0</v>
      </c>
      <c r="L203">
        <v>0</v>
      </c>
      <c r="M203">
        <v>0</v>
      </c>
      <c r="N203">
        <v>11.81</v>
      </c>
      <c r="O203">
        <v>0</v>
      </c>
      <c r="P203">
        <v>0</v>
      </c>
      <c r="Q203">
        <v>0</v>
      </c>
      <c r="R203">
        <v>-1</v>
      </c>
      <c r="S203">
        <v>-1</v>
      </c>
      <c r="T203">
        <v>-1</v>
      </c>
      <c r="U203">
        <v>99.132132132132128</v>
      </c>
      <c r="X203">
        <v>99.132132132132128</v>
      </c>
      <c r="Y203">
        <v>3.5775953470055438E-2</v>
      </c>
      <c r="AB203">
        <v>3.5775953470055438E-2</v>
      </c>
      <c r="AC203">
        <v>3.33</v>
      </c>
      <c r="AE203">
        <v>330.11</v>
      </c>
      <c r="AG203">
        <v>11.81</v>
      </c>
    </row>
    <row r="204" spans="1:34" x14ac:dyDescent="0.35">
      <c r="A204" t="s">
        <v>39</v>
      </c>
      <c r="B204">
        <v>915040</v>
      </c>
      <c r="C204" t="s">
        <v>41</v>
      </c>
      <c r="D204" t="s">
        <v>2208</v>
      </c>
      <c r="E204" t="s">
        <v>74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AC204">
        <v>0</v>
      </c>
      <c r="AE204">
        <v>0</v>
      </c>
      <c r="AG204">
        <v>0</v>
      </c>
    </row>
    <row r="205" spans="1:34" x14ac:dyDescent="0.35">
      <c r="A205" t="s">
        <v>39</v>
      </c>
      <c r="B205">
        <v>940227</v>
      </c>
      <c r="C205" t="s">
        <v>41</v>
      </c>
      <c r="D205" t="s">
        <v>2212</v>
      </c>
      <c r="E205" t="s">
        <v>74</v>
      </c>
      <c r="F205">
        <v>0</v>
      </c>
      <c r="G205">
        <v>0.06</v>
      </c>
      <c r="H205">
        <v>0</v>
      </c>
      <c r="I205">
        <v>0</v>
      </c>
      <c r="J205">
        <v>0</v>
      </c>
      <c r="K205">
        <v>6.48</v>
      </c>
      <c r="L205">
        <v>0</v>
      </c>
      <c r="M205">
        <v>0</v>
      </c>
      <c r="N205">
        <v>0</v>
      </c>
      <c r="O205">
        <v>0.23</v>
      </c>
      <c r="P205">
        <v>0</v>
      </c>
      <c r="Q205">
        <v>0</v>
      </c>
      <c r="V205">
        <v>108</v>
      </c>
      <c r="X205">
        <v>108</v>
      </c>
      <c r="Z205">
        <v>3.5493827160493832E-2</v>
      </c>
      <c r="AB205">
        <v>3.5493827160493832E-2</v>
      </c>
      <c r="AC205">
        <v>0.06</v>
      </c>
      <c r="AE205">
        <v>6.48</v>
      </c>
      <c r="AG205">
        <v>0.23</v>
      </c>
    </row>
    <row r="206" spans="1:34" x14ac:dyDescent="0.35">
      <c r="A206" t="s">
        <v>39</v>
      </c>
      <c r="B206">
        <v>935334</v>
      </c>
      <c r="C206" t="s">
        <v>41</v>
      </c>
      <c r="D206" t="s">
        <v>2218</v>
      </c>
      <c r="E206" t="s">
        <v>116</v>
      </c>
      <c r="F206">
        <v>18</v>
      </c>
      <c r="G206">
        <v>9</v>
      </c>
      <c r="H206">
        <v>13.5</v>
      </c>
      <c r="I206">
        <v>0</v>
      </c>
      <c r="J206">
        <v>62.64</v>
      </c>
      <c r="K206">
        <v>31.32</v>
      </c>
      <c r="L206">
        <v>46.98</v>
      </c>
      <c r="M206">
        <v>0</v>
      </c>
      <c r="N206">
        <v>2.2799999999999998</v>
      </c>
      <c r="O206">
        <v>1.1399999999999999</v>
      </c>
      <c r="P206">
        <v>1.71</v>
      </c>
      <c r="Q206">
        <v>0</v>
      </c>
      <c r="R206">
        <v>-0.5</v>
      </c>
      <c r="S206">
        <v>-0.5</v>
      </c>
      <c r="T206">
        <v>-0.5</v>
      </c>
      <c r="U206">
        <v>3.48</v>
      </c>
      <c r="V206">
        <v>3.48</v>
      </c>
      <c r="W206">
        <v>3.48</v>
      </c>
      <c r="X206">
        <v>3.48</v>
      </c>
      <c r="Y206">
        <v>3.6398467432950193E-2</v>
      </c>
      <c r="Z206">
        <v>3.6398467432950193E-2</v>
      </c>
      <c r="AA206">
        <v>3.6398467432950193E-2</v>
      </c>
      <c r="AB206">
        <v>3.6398467432950193E-2</v>
      </c>
      <c r="AC206">
        <v>27</v>
      </c>
      <c r="AE206">
        <v>93.960000000000008</v>
      </c>
      <c r="AG206">
        <v>3.42</v>
      </c>
    </row>
    <row r="207" spans="1:34" x14ac:dyDescent="0.35">
      <c r="A207" t="s">
        <v>39</v>
      </c>
      <c r="B207">
        <v>934281</v>
      </c>
      <c r="C207" t="s">
        <v>41</v>
      </c>
      <c r="D207" t="s">
        <v>2227</v>
      </c>
      <c r="E207" t="s">
        <v>2228</v>
      </c>
      <c r="F207">
        <v>0.65</v>
      </c>
      <c r="G207">
        <v>0.65</v>
      </c>
      <c r="H207">
        <v>0.65</v>
      </c>
      <c r="I207">
        <v>0</v>
      </c>
      <c r="J207">
        <v>780</v>
      </c>
      <c r="K207">
        <v>780</v>
      </c>
      <c r="L207">
        <v>780</v>
      </c>
      <c r="M207">
        <v>0</v>
      </c>
      <c r="N207">
        <v>27.9</v>
      </c>
      <c r="O207">
        <v>27.9</v>
      </c>
      <c r="P207">
        <v>27.9</v>
      </c>
      <c r="Q207">
        <v>0</v>
      </c>
      <c r="R207">
        <v>0</v>
      </c>
      <c r="S207">
        <v>0</v>
      </c>
      <c r="T207">
        <v>0</v>
      </c>
      <c r="U207">
        <v>1200</v>
      </c>
      <c r="V207">
        <v>1200</v>
      </c>
      <c r="W207">
        <v>1200</v>
      </c>
      <c r="X207">
        <v>1200</v>
      </c>
      <c r="Y207">
        <v>3.5769230769230768E-2</v>
      </c>
      <c r="Z207">
        <v>3.5769230769230768E-2</v>
      </c>
      <c r="AA207">
        <v>3.5769230769230768E-2</v>
      </c>
      <c r="AB207">
        <v>3.5769230769230768E-2</v>
      </c>
      <c r="AC207">
        <v>1.3</v>
      </c>
      <c r="AE207">
        <v>1560</v>
      </c>
      <c r="AG207">
        <v>55.8</v>
      </c>
    </row>
  </sheetData>
  <pageMargins left="0.75" right="0.75" top="1" bottom="1" header="0.5" footer="0.5"/>
  <headerFooter>
    <oddHeader>&amp;C&amp;"Aptos"&amp;10&amp;K4A569E Internal&amp;1#_x000D_&amp;"Calibri"&amp;11&amp;K000000&amp;"Calibri"&amp;11&amp;K000000&amp;"Aptos"&amp;1 &amp;K4A569E Internal#_x000D_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207"/>
  <sheetViews>
    <sheetView workbookViewId="0"/>
  </sheetViews>
  <sheetFormatPr baseColWidth="10" defaultColWidth="8.7265625" defaultRowHeight="14.5" x14ac:dyDescent="0.35"/>
  <sheetData>
    <row r="1" spans="1:36" x14ac:dyDescent="0.35">
      <c r="A1" t="s">
        <v>0</v>
      </c>
      <c r="B1" t="s">
        <v>1</v>
      </c>
      <c r="C1" t="s">
        <v>3</v>
      </c>
      <c r="D1" t="s">
        <v>4</v>
      </c>
      <c r="E1" t="s">
        <v>2234</v>
      </c>
      <c r="F1" t="s">
        <v>2263</v>
      </c>
      <c r="G1" t="s">
        <v>2264</v>
      </c>
      <c r="H1" t="s">
        <v>2265</v>
      </c>
      <c r="I1" t="s">
        <v>2266</v>
      </c>
      <c r="J1" t="s">
        <v>2267</v>
      </c>
      <c r="K1" t="s">
        <v>2268</v>
      </c>
      <c r="L1" t="s">
        <v>2269</v>
      </c>
      <c r="M1" t="s">
        <v>2270</v>
      </c>
      <c r="N1" t="s">
        <v>2271</v>
      </c>
      <c r="O1" t="s">
        <v>2272</v>
      </c>
      <c r="P1" t="s">
        <v>2273</v>
      </c>
      <c r="Q1" t="s">
        <v>2274</v>
      </c>
      <c r="R1" t="s">
        <v>2275</v>
      </c>
      <c r="S1" t="s">
        <v>2276</v>
      </c>
      <c r="T1" t="s">
        <v>2277</v>
      </c>
      <c r="U1" t="s">
        <v>2278</v>
      </c>
      <c r="V1" t="s">
        <v>2279</v>
      </c>
      <c r="W1" t="s">
        <v>2280</v>
      </c>
      <c r="X1" t="s">
        <v>2281</v>
      </c>
      <c r="Y1" t="s">
        <v>2282</v>
      </c>
      <c r="Z1" t="s">
        <v>2283</v>
      </c>
      <c r="AA1" t="s">
        <v>2284</v>
      </c>
      <c r="AB1" t="s">
        <v>2285</v>
      </c>
      <c r="AC1" t="s">
        <v>2286</v>
      </c>
      <c r="AD1" t="s">
        <v>2287</v>
      </c>
      <c r="AE1" t="s">
        <v>2288</v>
      </c>
      <c r="AF1" t="s">
        <v>2289</v>
      </c>
      <c r="AG1" t="s">
        <v>2290</v>
      </c>
      <c r="AH1" t="s">
        <v>2291</v>
      </c>
      <c r="AI1" t="s">
        <v>2292</v>
      </c>
      <c r="AJ1" t="s">
        <v>2293</v>
      </c>
    </row>
    <row r="2" spans="1:36" x14ac:dyDescent="0.35">
      <c r="A2" t="s">
        <v>39</v>
      </c>
      <c r="B2">
        <v>936342</v>
      </c>
      <c r="C2" t="s">
        <v>41</v>
      </c>
      <c r="D2" t="s">
        <v>42</v>
      </c>
      <c r="E2" t="s">
        <v>43</v>
      </c>
      <c r="F2">
        <v>3.84</v>
      </c>
      <c r="G2">
        <v>295.98</v>
      </c>
      <c r="H2">
        <v>10.59</v>
      </c>
      <c r="I2">
        <v>0</v>
      </c>
      <c r="J2">
        <v>0</v>
      </c>
      <c r="K2">
        <v>0</v>
      </c>
      <c r="O2">
        <v>2.5</v>
      </c>
      <c r="P2">
        <v>193.3</v>
      </c>
      <c r="Q2">
        <v>6.92</v>
      </c>
      <c r="R2">
        <v>2.5</v>
      </c>
      <c r="S2">
        <v>193.3</v>
      </c>
      <c r="T2">
        <v>6.92</v>
      </c>
      <c r="X2">
        <v>2.5</v>
      </c>
      <c r="Y2">
        <v>193.3</v>
      </c>
      <c r="Z2">
        <v>6.92</v>
      </c>
      <c r="AA2">
        <v>2.6880000000000002</v>
      </c>
      <c r="AB2">
        <v>207.18600000000001</v>
      </c>
      <c r="AC2">
        <v>7.4129999999999994</v>
      </c>
      <c r="AD2">
        <v>2.5939999999999999</v>
      </c>
      <c r="AE2">
        <v>200.24299999999999</v>
      </c>
      <c r="AF2">
        <v>7.1664999999999992</v>
      </c>
      <c r="AG2">
        <v>3.7599999999999863E-2</v>
      </c>
      <c r="AH2">
        <v>3.5918261769270383E-2</v>
      </c>
      <c r="AI2">
        <v>3.7599999999999863E-2</v>
      </c>
      <c r="AJ2">
        <v>3.5918261769270383E-2</v>
      </c>
    </row>
    <row r="3" spans="1:36" x14ac:dyDescent="0.35">
      <c r="A3" t="s">
        <v>39</v>
      </c>
      <c r="B3">
        <v>915052</v>
      </c>
      <c r="C3" t="s">
        <v>41</v>
      </c>
      <c r="D3" t="s">
        <v>60</v>
      </c>
      <c r="E3" t="s">
        <v>61</v>
      </c>
      <c r="F3">
        <v>0</v>
      </c>
      <c r="G3">
        <v>9.18</v>
      </c>
      <c r="H3">
        <v>0.32</v>
      </c>
      <c r="I3">
        <v>0.1</v>
      </c>
      <c r="J3">
        <v>159.76</v>
      </c>
      <c r="K3">
        <v>5.18</v>
      </c>
      <c r="L3">
        <v>-1</v>
      </c>
      <c r="M3">
        <v>-0.9425388082123185</v>
      </c>
      <c r="N3">
        <v>-0.93822393822393824</v>
      </c>
      <c r="O3">
        <v>0.5</v>
      </c>
      <c r="P3">
        <v>832.09</v>
      </c>
      <c r="Q3">
        <v>29.77</v>
      </c>
      <c r="R3">
        <v>0</v>
      </c>
      <c r="S3">
        <v>0</v>
      </c>
      <c r="T3">
        <v>0</v>
      </c>
      <c r="U3">
        <v>0</v>
      </c>
      <c r="V3">
        <v>0.52749374061091614</v>
      </c>
      <c r="W3">
        <v>1.976833976833977E-2</v>
      </c>
      <c r="X3">
        <v>0.5</v>
      </c>
      <c r="Y3">
        <v>832.09</v>
      </c>
      <c r="Z3">
        <v>29.77</v>
      </c>
      <c r="AA3">
        <v>0.03</v>
      </c>
      <c r="AB3">
        <v>54.353999999999999</v>
      </c>
      <c r="AC3">
        <v>1.778</v>
      </c>
      <c r="AD3">
        <v>0.17666666666666669</v>
      </c>
      <c r="AE3">
        <v>295.65716458020358</v>
      </c>
      <c r="AF3">
        <v>10.52258944658945</v>
      </c>
      <c r="AG3">
        <v>-0.64666666666666672</v>
      </c>
      <c r="AH3">
        <v>-0.64468126695405115</v>
      </c>
    </row>
    <row r="4" spans="1:36" x14ac:dyDescent="0.35">
      <c r="A4" t="s">
        <v>39</v>
      </c>
      <c r="B4">
        <v>626742</v>
      </c>
      <c r="C4" t="s">
        <v>72</v>
      </c>
      <c r="D4" t="s">
        <v>73</v>
      </c>
      <c r="E4" t="s">
        <v>74</v>
      </c>
      <c r="G4">
        <v>1401.26</v>
      </c>
      <c r="H4">
        <v>107.44</v>
      </c>
      <c r="J4">
        <v>534.42999999999995</v>
      </c>
      <c r="K4">
        <v>37.57</v>
      </c>
      <c r="M4">
        <v>1.621971071983235</v>
      </c>
      <c r="N4">
        <v>1.8597285067873299</v>
      </c>
      <c r="P4">
        <v>508.04</v>
      </c>
      <c r="Q4">
        <v>38.950000000000003</v>
      </c>
      <c r="S4">
        <v>462.77</v>
      </c>
      <c r="T4">
        <v>35.479999999999997</v>
      </c>
      <c r="V4">
        <v>3674.0631843272281</v>
      </c>
      <c r="W4">
        <v>307.24923076923079</v>
      </c>
      <c r="Y4">
        <v>508.04</v>
      </c>
      <c r="Z4">
        <v>38.950000000000003</v>
      </c>
      <c r="AB4">
        <v>1141.211</v>
      </c>
      <c r="AC4">
        <v>86.478999999999999</v>
      </c>
      <c r="AE4">
        <v>1774.438061442409</v>
      </c>
      <c r="AF4">
        <v>144.2260769230769</v>
      </c>
      <c r="AH4">
        <v>2.492713293131267</v>
      </c>
      <c r="AJ4">
        <v>2.8343843841269081</v>
      </c>
    </row>
    <row r="5" spans="1:36" x14ac:dyDescent="0.35">
      <c r="A5" t="s">
        <v>39</v>
      </c>
      <c r="B5">
        <v>769647</v>
      </c>
      <c r="C5" t="s">
        <v>72</v>
      </c>
      <c r="D5" t="s">
        <v>107</v>
      </c>
      <c r="E5" t="s">
        <v>74</v>
      </c>
      <c r="F5">
        <v>0</v>
      </c>
      <c r="G5">
        <v>0</v>
      </c>
      <c r="H5">
        <v>0</v>
      </c>
      <c r="J5">
        <v>572.76</v>
      </c>
      <c r="K5">
        <v>19.16</v>
      </c>
      <c r="M5">
        <v>-1</v>
      </c>
      <c r="N5">
        <v>-1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V5">
        <v>0</v>
      </c>
      <c r="W5">
        <v>0</v>
      </c>
      <c r="X5">
        <v>0</v>
      </c>
      <c r="Y5">
        <v>0</v>
      </c>
      <c r="Z5">
        <v>0</v>
      </c>
      <c r="AB5">
        <v>171.828</v>
      </c>
      <c r="AC5">
        <v>5.7480000000000002</v>
      </c>
      <c r="AD5">
        <v>0</v>
      </c>
      <c r="AE5">
        <v>57.276000000000003</v>
      </c>
      <c r="AF5">
        <v>1.9159999999999999</v>
      </c>
    </row>
    <row r="6" spans="1:36" x14ac:dyDescent="0.35">
      <c r="A6" t="s">
        <v>39</v>
      </c>
      <c r="B6">
        <v>645275</v>
      </c>
      <c r="C6" t="s">
        <v>72</v>
      </c>
      <c r="D6" t="s">
        <v>115</v>
      </c>
      <c r="E6" t="s">
        <v>116</v>
      </c>
      <c r="G6">
        <v>763.15</v>
      </c>
      <c r="H6">
        <v>29.28</v>
      </c>
      <c r="J6">
        <v>201.98</v>
      </c>
      <c r="K6">
        <v>7.29</v>
      </c>
      <c r="M6">
        <v>2.7783443905337162</v>
      </c>
      <c r="N6">
        <v>3.0164609053497951</v>
      </c>
      <c r="P6">
        <v>204.12</v>
      </c>
      <c r="Q6">
        <v>7.83</v>
      </c>
      <c r="S6">
        <v>204.12</v>
      </c>
      <c r="T6">
        <v>7.83</v>
      </c>
      <c r="V6">
        <v>2883.4435216358061</v>
      </c>
      <c r="W6">
        <v>117.601975308642</v>
      </c>
      <c r="Y6">
        <v>204.12</v>
      </c>
      <c r="Z6">
        <v>7.83</v>
      </c>
      <c r="AB6">
        <v>594.79899999999998</v>
      </c>
      <c r="AC6">
        <v>22.683</v>
      </c>
      <c r="AE6">
        <v>1227.454173878602</v>
      </c>
      <c r="AF6">
        <v>49.371658436213998</v>
      </c>
      <c r="AH6">
        <v>5.0133949337576018</v>
      </c>
      <c r="AJ6">
        <v>5.0133949337576018</v>
      </c>
    </row>
    <row r="7" spans="1:36" x14ac:dyDescent="0.35">
      <c r="A7" t="s">
        <v>39</v>
      </c>
      <c r="B7">
        <v>645276</v>
      </c>
      <c r="C7" t="s">
        <v>72</v>
      </c>
      <c r="D7" t="s">
        <v>138</v>
      </c>
      <c r="E7" t="s">
        <v>116</v>
      </c>
      <c r="G7">
        <v>1447.63</v>
      </c>
      <c r="H7">
        <v>60.05</v>
      </c>
      <c r="J7">
        <v>372.42</v>
      </c>
      <c r="K7">
        <v>14.8</v>
      </c>
      <c r="M7">
        <v>2.8870898447988829</v>
      </c>
      <c r="N7">
        <v>3.057432432432432</v>
      </c>
      <c r="P7">
        <v>435.61</v>
      </c>
      <c r="Q7">
        <v>18.07</v>
      </c>
      <c r="S7">
        <v>395.09</v>
      </c>
      <c r="T7">
        <v>16.39</v>
      </c>
      <c r="V7">
        <v>5627.0678720262076</v>
      </c>
      <c r="W7">
        <v>243.64881756756759</v>
      </c>
      <c r="Y7">
        <v>435.61</v>
      </c>
      <c r="Z7">
        <v>18.07</v>
      </c>
      <c r="AB7">
        <v>1125.067</v>
      </c>
      <c r="AC7">
        <v>46.474999999999987</v>
      </c>
      <c r="AE7">
        <v>2395.9149573420691</v>
      </c>
      <c r="AF7">
        <v>102.7312725225225</v>
      </c>
      <c r="AH7">
        <v>4.5001376399579192</v>
      </c>
      <c r="AJ7">
        <v>5.0642257646158324</v>
      </c>
    </row>
    <row r="8" spans="1:36" x14ac:dyDescent="0.35">
      <c r="A8" t="s">
        <v>39</v>
      </c>
      <c r="B8">
        <v>729219</v>
      </c>
      <c r="C8" t="s">
        <v>72</v>
      </c>
      <c r="D8" t="s">
        <v>159</v>
      </c>
      <c r="E8" t="s">
        <v>160</v>
      </c>
      <c r="F8">
        <v>20</v>
      </c>
      <c r="G8">
        <v>34.57</v>
      </c>
      <c r="H8">
        <v>1.21</v>
      </c>
      <c r="I8">
        <v>80.27</v>
      </c>
      <c r="J8">
        <v>169.75</v>
      </c>
      <c r="K8">
        <v>5.5</v>
      </c>
      <c r="L8">
        <v>-0.75084091192226232</v>
      </c>
      <c r="M8">
        <v>-0.79634756995581735</v>
      </c>
      <c r="N8">
        <v>-0.78</v>
      </c>
      <c r="O8">
        <v>0</v>
      </c>
      <c r="P8">
        <v>0</v>
      </c>
      <c r="Q8">
        <v>0</v>
      </c>
      <c r="R8">
        <v>40</v>
      </c>
      <c r="S8">
        <v>69.13</v>
      </c>
      <c r="T8">
        <v>2.41</v>
      </c>
      <c r="U8">
        <v>4.9831817615547536</v>
      </c>
      <c r="V8">
        <v>7.0402645066273948</v>
      </c>
      <c r="W8">
        <v>0.26619999999999988</v>
      </c>
      <c r="X8">
        <v>0</v>
      </c>
      <c r="Y8">
        <v>0</v>
      </c>
      <c r="Z8">
        <v>0</v>
      </c>
      <c r="AA8">
        <v>38.081000000000003</v>
      </c>
      <c r="AB8">
        <v>75.123999999999995</v>
      </c>
      <c r="AC8">
        <v>2.4969999999999999</v>
      </c>
      <c r="AD8">
        <v>14.354727253851591</v>
      </c>
      <c r="AE8">
        <v>27.3880881688758</v>
      </c>
      <c r="AF8">
        <v>0.92106666666666659</v>
      </c>
      <c r="AI8">
        <v>-0.64113181865371038</v>
      </c>
      <c r="AJ8">
        <v>-0.60381761653586286</v>
      </c>
    </row>
    <row r="9" spans="1:36" x14ac:dyDescent="0.35">
      <c r="A9" t="s">
        <v>39</v>
      </c>
      <c r="B9">
        <v>728957</v>
      </c>
      <c r="C9" t="s">
        <v>72</v>
      </c>
      <c r="D9" t="s">
        <v>177</v>
      </c>
      <c r="E9" t="s">
        <v>160</v>
      </c>
      <c r="F9">
        <v>10</v>
      </c>
      <c r="G9">
        <v>11.64</v>
      </c>
      <c r="H9">
        <v>0.41</v>
      </c>
      <c r="I9">
        <v>10</v>
      </c>
      <c r="J9">
        <v>14.25</v>
      </c>
      <c r="K9">
        <v>0.46</v>
      </c>
      <c r="L9">
        <v>0</v>
      </c>
      <c r="M9">
        <v>-0.1831578947368421</v>
      </c>
      <c r="N9">
        <v>-0.1086956521739131</v>
      </c>
      <c r="O9">
        <v>0</v>
      </c>
      <c r="P9">
        <v>0</v>
      </c>
      <c r="Q9">
        <v>0</v>
      </c>
      <c r="R9">
        <v>10</v>
      </c>
      <c r="S9">
        <v>11.64</v>
      </c>
      <c r="T9">
        <v>0.41</v>
      </c>
      <c r="U9">
        <v>10</v>
      </c>
      <c r="V9">
        <v>9.5080421052631579</v>
      </c>
      <c r="W9">
        <v>0.36543478260869561</v>
      </c>
      <c r="X9">
        <v>0</v>
      </c>
      <c r="Y9">
        <v>0</v>
      </c>
      <c r="Z9">
        <v>0</v>
      </c>
      <c r="AA9">
        <v>10</v>
      </c>
      <c r="AB9">
        <v>12.423</v>
      </c>
      <c r="AC9">
        <v>0.42499999999999999</v>
      </c>
      <c r="AD9">
        <v>6.666666666666667</v>
      </c>
      <c r="AE9">
        <v>7.310347368421052</v>
      </c>
      <c r="AF9">
        <v>0.26347826086956522</v>
      </c>
      <c r="AI9">
        <v>-0.33333333333333331</v>
      </c>
      <c r="AJ9">
        <v>-0.37196328449990967</v>
      </c>
    </row>
    <row r="10" spans="1:36" x14ac:dyDescent="0.35">
      <c r="A10" t="s">
        <v>39</v>
      </c>
      <c r="B10">
        <v>509021</v>
      </c>
      <c r="C10" t="s">
        <v>72</v>
      </c>
      <c r="D10" t="s">
        <v>186</v>
      </c>
      <c r="E10" t="s">
        <v>187</v>
      </c>
      <c r="F10">
        <v>2345.5</v>
      </c>
      <c r="G10">
        <v>256.45999999999998</v>
      </c>
      <c r="H10">
        <v>9.0299999999999994</v>
      </c>
      <c r="J10">
        <v>163.18</v>
      </c>
      <c r="K10">
        <v>5.35</v>
      </c>
      <c r="M10">
        <v>0.57163868121093286</v>
      </c>
      <c r="N10">
        <v>0.68785046728971966</v>
      </c>
      <c r="P10">
        <v>125.74</v>
      </c>
      <c r="Q10">
        <v>4.43</v>
      </c>
      <c r="R10">
        <v>950</v>
      </c>
      <c r="S10">
        <v>103.87</v>
      </c>
      <c r="T10">
        <v>3.66</v>
      </c>
      <c r="V10">
        <v>403.06245618335589</v>
      </c>
      <c r="W10">
        <v>15.24128971962617</v>
      </c>
      <c r="Y10">
        <v>125.74</v>
      </c>
      <c r="Z10">
        <v>4.43</v>
      </c>
      <c r="AB10">
        <v>228.476</v>
      </c>
      <c r="AC10">
        <v>7.9259999999999984</v>
      </c>
      <c r="AE10">
        <v>252.42615206111859</v>
      </c>
      <c r="AF10">
        <v>9.1990965732087222</v>
      </c>
      <c r="AH10">
        <v>1.007524670439945</v>
      </c>
      <c r="AJ10">
        <v>1.4302123044297541</v>
      </c>
    </row>
    <row r="11" spans="1:36" x14ac:dyDescent="0.35">
      <c r="A11" t="s">
        <v>39</v>
      </c>
      <c r="B11">
        <v>746949</v>
      </c>
      <c r="C11" t="s">
        <v>72</v>
      </c>
      <c r="D11" t="s">
        <v>214</v>
      </c>
      <c r="E11" t="s">
        <v>215</v>
      </c>
      <c r="F11">
        <v>0</v>
      </c>
      <c r="G11">
        <v>0</v>
      </c>
      <c r="H11">
        <v>0</v>
      </c>
      <c r="I11">
        <v>74.540000000000006</v>
      </c>
      <c r="J11">
        <v>9.81</v>
      </c>
      <c r="K11">
        <v>0.32</v>
      </c>
      <c r="L11">
        <v>-1</v>
      </c>
      <c r="M11">
        <v>-1</v>
      </c>
      <c r="N11">
        <v>-1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22.361999999999998</v>
      </c>
      <c r="AB11">
        <v>2.9430000000000001</v>
      </c>
      <c r="AC11">
        <v>9.6000000000000002E-2</v>
      </c>
      <c r="AD11">
        <v>7.4540000000000006</v>
      </c>
      <c r="AE11">
        <v>0.98099999999999998</v>
      </c>
      <c r="AF11">
        <v>3.2000000000000001E-2</v>
      </c>
    </row>
    <row r="12" spans="1:36" x14ac:dyDescent="0.35">
      <c r="A12" t="s">
        <v>39</v>
      </c>
      <c r="B12">
        <v>650851</v>
      </c>
      <c r="C12" t="s">
        <v>72</v>
      </c>
      <c r="D12" t="s">
        <v>220</v>
      </c>
      <c r="E12" t="s">
        <v>221</v>
      </c>
      <c r="F12">
        <v>290.62</v>
      </c>
      <c r="G12">
        <v>24.64</v>
      </c>
      <c r="H12">
        <v>0.8600000000000001</v>
      </c>
      <c r="I12">
        <v>92.19</v>
      </c>
      <c r="J12">
        <v>9.48</v>
      </c>
      <c r="K12">
        <v>0.3</v>
      </c>
      <c r="L12">
        <v>2.1524026467078858</v>
      </c>
      <c r="M12">
        <v>1.5991561181434599</v>
      </c>
      <c r="N12">
        <v>1.8666666666666669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916.15125718624574</v>
      </c>
      <c r="V12">
        <v>64.043206751054853</v>
      </c>
      <c r="W12">
        <v>2.465333333333334</v>
      </c>
      <c r="X12">
        <v>0</v>
      </c>
      <c r="Y12">
        <v>0</v>
      </c>
      <c r="Z12">
        <v>0</v>
      </c>
      <c r="AA12">
        <v>231.09100000000001</v>
      </c>
      <c r="AB12">
        <v>20.091999999999999</v>
      </c>
      <c r="AC12">
        <v>0.69199999999999995</v>
      </c>
      <c r="AD12">
        <v>382.4140857287486</v>
      </c>
      <c r="AE12">
        <v>28.045068917018281</v>
      </c>
      <c r="AF12">
        <v>1.052444444444445</v>
      </c>
    </row>
    <row r="13" spans="1:36" x14ac:dyDescent="0.35">
      <c r="A13" t="s">
        <v>39</v>
      </c>
      <c r="B13">
        <v>555832</v>
      </c>
      <c r="C13" t="s">
        <v>72</v>
      </c>
      <c r="D13" t="s">
        <v>233</v>
      </c>
      <c r="E13" t="s">
        <v>221</v>
      </c>
      <c r="F13">
        <v>194.4</v>
      </c>
      <c r="G13">
        <v>14.93</v>
      </c>
      <c r="H13">
        <v>0.52</v>
      </c>
      <c r="I13">
        <v>94.22</v>
      </c>
      <c r="J13">
        <v>8.74</v>
      </c>
      <c r="K13">
        <v>0.28000000000000003</v>
      </c>
      <c r="L13">
        <v>1.063256208872851</v>
      </c>
      <c r="M13">
        <v>0.70823798627002277</v>
      </c>
      <c r="N13">
        <v>0.85714285714285698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401.09700700488219</v>
      </c>
      <c r="V13">
        <v>25.503993135011441</v>
      </c>
      <c r="W13">
        <v>0.96571428571428564</v>
      </c>
      <c r="X13">
        <v>0</v>
      </c>
      <c r="Y13">
        <v>0</v>
      </c>
      <c r="Z13">
        <v>0</v>
      </c>
      <c r="AA13">
        <v>164.346</v>
      </c>
      <c r="AB13">
        <v>13.073</v>
      </c>
      <c r="AC13">
        <v>0.44800000000000001</v>
      </c>
      <c r="AD13">
        <v>188.48100233496069</v>
      </c>
      <c r="AE13">
        <v>12.858997711670479</v>
      </c>
      <c r="AF13">
        <v>0.47123809523809518</v>
      </c>
    </row>
    <row r="14" spans="1:36" x14ac:dyDescent="0.35">
      <c r="A14" t="s">
        <v>39</v>
      </c>
      <c r="B14">
        <v>769833</v>
      </c>
      <c r="C14" t="s">
        <v>72</v>
      </c>
      <c r="D14" t="s">
        <v>244</v>
      </c>
      <c r="E14" t="s">
        <v>245</v>
      </c>
      <c r="F14">
        <v>0</v>
      </c>
      <c r="G14">
        <v>0</v>
      </c>
      <c r="H14">
        <v>0</v>
      </c>
      <c r="J14">
        <v>124.92</v>
      </c>
      <c r="K14">
        <v>4.0199999999999996</v>
      </c>
      <c r="M14">
        <v>-1</v>
      </c>
      <c r="N14">
        <v>-1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V14">
        <v>0</v>
      </c>
      <c r="W14">
        <v>0</v>
      </c>
      <c r="X14">
        <v>0</v>
      </c>
      <c r="Y14">
        <v>0</v>
      </c>
      <c r="Z14">
        <v>0</v>
      </c>
      <c r="AB14">
        <v>37.475999999999999</v>
      </c>
      <c r="AC14">
        <v>1.206</v>
      </c>
      <c r="AD14">
        <v>0</v>
      </c>
      <c r="AE14">
        <v>12.492000000000001</v>
      </c>
      <c r="AF14">
        <v>0.40199999999999991</v>
      </c>
    </row>
    <row r="15" spans="1:36" x14ac:dyDescent="0.35">
      <c r="A15" t="s">
        <v>39</v>
      </c>
      <c r="B15">
        <v>769657</v>
      </c>
      <c r="C15" t="s">
        <v>72</v>
      </c>
      <c r="D15" t="s">
        <v>250</v>
      </c>
      <c r="E15" t="s">
        <v>74</v>
      </c>
      <c r="F15">
        <v>0</v>
      </c>
      <c r="G15">
        <v>0</v>
      </c>
      <c r="H15">
        <v>0</v>
      </c>
      <c r="J15">
        <v>462.69</v>
      </c>
      <c r="K15">
        <v>15.26</v>
      </c>
      <c r="M15">
        <v>-1</v>
      </c>
      <c r="N15">
        <v>-1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V15">
        <v>0</v>
      </c>
      <c r="W15">
        <v>0</v>
      </c>
      <c r="X15">
        <v>0</v>
      </c>
      <c r="Y15">
        <v>0</v>
      </c>
      <c r="Z15">
        <v>0</v>
      </c>
      <c r="AB15">
        <v>138.80699999999999</v>
      </c>
      <c r="AC15">
        <v>4.5779999999999994</v>
      </c>
      <c r="AD15">
        <v>0</v>
      </c>
      <c r="AE15">
        <v>46.268999999999998</v>
      </c>
      <c r="AF15">
        <v>1.526</v>
      </c>
    </row>
    <row r="16" spans="1:36" x14ac:dyDescent="0.35">
      <c r="A16" t="s">
        <v>39</v>
      </c>
      <c r="B16">
        <v>769665</v>
      </c>
      <c r="C16" t="s">
        <v>72</v>
      </c>
      <c r="D16" t="s">
        <v>255</v>
      </c>
      <c r="E16" t="s">
        <v>256</v>
      </c>
      <c r="F16">
        <v>0</v>
      </c>
      <c r="G16">
        <v>0</v>
      </c>
      <c r="H16">
        <v>0</v>
      </c>
      <c r="I16">
        <v>928.98</v>
      </c>
      <c r="J16">
        <v>424.99</v>
      </c>
      <c r="K16">
        <v>13.74</v>
      </c>
      <c r="L16">
        <v>-1</v>
      </c>
      <c r="M16">
        <v>-1</v>
      </c>
      <c r="N16">
        <v>-1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278.69400000000002</v>
      </c>
      <c r="AB16">
        <v>127.497</v>
      </c>
      <c r="AC16">
        <v>4.1219999999999999</v>
      </c>
      <c r="AD16">
        <v>92.89800000000001</v>
      </c>
      <c r="AE16">
        <v>42.499000000000002</v>
      </c>
      <c r="AF16">
        <v>1.3740000000000001</v>
      </c>
    </row>
    <row r="17" spans="1:36" x14ac:dyDescent="0.35">
      <c r="A17" t="s">
        <v>39</v>
      </c>
      <c r="B17">
        <v>956758</v>
      </c>
      <c r="C17" t="s">
        <v>41</v>
      </c>
      <c r="D17" t="s">
        <v>261</v>
      </c>
      <c r="E17" t="s">
        <v>262</v>
      </c>
      <c r="F17">
        <v>3.3</v>
      </c>
      <c r="G17">
        <v>495</v>
      </c>
      <c r="H17">
        <v>17.72</v>
      </c>
      <c r="I17">
        <v>0</v>
      </c>
      <c r="J17">
        <v>0</v>
      </c>
      <c r="K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X17">
        <v>0</v>
      </c>
      <c r="Y17">
        <v>0</v>
      </c>
      <c r="Z17">
        <v>0</v>
      </c>
      <c r="AA17">
        <v>2.31</v>
      </c>
      <c r="AB17">
        <v>346.5</v>
      </c>
      <c r="AC17">
        <v>12.404</v>
      </c>
      <c r="AD17">
        <v>1.155</v>
      </c>
      <c r="AE17">
        <v>173.25</v>
      </c>
      <c r="AF17">
        <v>6.2019999999999991</v>
      </c>
    </row>
    <row r="18" spans="1:36" x14ac:dyDescent="0.35">
      <c r="A18" t="s">
        <v>39</v>
      </c>
      <c r="B18">
        <v>769832</v>
      </c>
      <c r="C18" t="s">
        <v>72</v>
      </c>
      <c r="D18" t="s">
        <v>269</v>
      </c>
      <c r="E18" t="s">
        <v>215</v>
      </c>
      <c r="F18">
        <v>0</v>
      </c>
      <c r="G18">
        <v>0</v>
      </c>
      <c r="H18">
        <v>0</v>
      </c>
      <c r="I18">
        <v>150.75</v>
      </c>
      <c r="J18">
        <v>23.41</v>
      </c>
      <c r="K18">
        <v>0.76</v>
      </c>
      <c r="L18">
        <v>-1</v>
      </c>
      <c r="M18">
        <v>-1</v>
      </c>
      <c r="N18">
        <v>-1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45.225000000000001</v>
      </c>
      <c r="AB18">
        <v>7.0229999999999997</v>
      </c>
      <c r="AC18">
        <v>0.22800000000000001</v>
      </c>
      <c r="AD18">
        <v>15.074999999999999</v>
      </c>
      <c r="AE18">
        <v>2.3410000000000002</v>
      </c>
      <c r="AF18">
        <v>7.5999999999999998E-2</v>
      </c>
    </row>
    <row r="19" spans="1:36" x14ac:dyDescent="0.35">
      <c r="A19" t="s">
        <v>39</v>
      </c>
      <c r="B19">
        <v>769704</v>
      </c>
      <c r="C19" t="s">
        <v>72</v>
      </c>
      <c r="D19" t="s">
        <v>274</v>
      </c>
      <c r="E19" t="s">
        <v>74</v>
      </c>
      <c r="F19">
        <v>0</v>
      </c>
      <c r="G19">
        <v>0</v>
      </c>
      <c r="H19">
        <v>0</v>
      </c>
      <c r="I19">
        <v>70.66</v>
      </c>
      <c r="J19">
        <v>173.77</v>
      </c>
      <c r="K19">
        <v>5.63</v>
      </c>
      <c r="L19">
        <v>-1</v>
      </c>
      <c r="M19">
        <v>-1</v>
      </c>
      <c r="N19">
        <v>-1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21.198</v>
      </c>
      <c r="AB19">
        <v>52.131</v>
      </c>
      <c r="AC19">
        <v>1.6890000000000001</v>
      </c>
      <c r="AD19">
        <v>7.0659999999999989</v>
      </c>
      <c r="AE19">
        <v>17.376999999999999</v>
      </c>
      <c r="AF19">
        <v>0.56299999999999994</v>
      </c>
    </row>
    <row r="20" spans="1:36" x14ac:dyDescent="0.35">
      <c r="A20" t="s">
        <v>39</v>
      </c>
      <c r="B20">
        <v>933327</v>
      </c>
      <c r="C20" t="s">
        <v>72</v>
      </c>
      <c r="D20" t="s">
        <v>280</v>
      </c>
      <c r="E20" t="s">
        <v>281</v>
      </c>
      <c r="H20">
        <v>93.87</v>
      </c>
      <c r="I20">
        <v>195.24</v>
      </c>
      <c r="J20">
        <v>81.209999999999994</v>
      </c>
      <c r="K20">
        <v>2.63</v>
      </c>
      <c r="N20">
        <v>34.692015209125479</v>
      </c>
      <c r="O20">
        <v>300</v>
      </c>
      <c r="P20">
        <v>101.98</v>
      </c>
      <c r="Q20">
        <v>3.65</v>
      </c>
      <c r="S20">
        <v>730.85</v>
      </c>
      <c r="T20">
        <v>26.18</v>
      </c>
      <c r="W20">
        <v>3350.4094676806089</v>
      </c>
      <c r="X20">
        <v>300</v>
      </c>
      <c r="Y20">
        <v>101.98</v>
      </c>
      <c r="Z20">
        <v>3.65</v>
      </c>
      <c r="AC20">
        <v>66.498000000000005</v>
      </c>
      <c r="AD20">
        <v>300</v>
      </c>
      <c r="AE20">
        <v>101.98</v>
      </c>
      <c r="AF20">
        <v>1140.185822560203</v>
      </c>
      <c r="AG20">
        <v>0</v>
      </c>
      <c r="AH20">
        <v>0</v>
      </c>
      <c r="AJ20">
        <v>-0.86046384346993232</v>
      </c>
    </row>
    <row r="21" spans="1:36" x14ac:dyDescent="0.35">
      <c r="A21" t="s">
        <v>39</v>
      </c>
      <c r="B21">
        <v>533316</v>
      </c>
      <c r="C21" t="s">
        <v>72</v>
      </c>
      <c r="D21" t="s">
        <v>306</v>
      </c>
      <c r="E21" t="s">
        <v>281</v>
      </c>
      <c r="F21">
        <v>276.13</v>
      </c>
      <c r="G21">
        <v>75.099999999999994</v>
      </c>
      <c r="H21">
        <v>2.69</v>
      </c>
      <c r="I21">
        <v>90.45</v>
      </c>
      <c r="J21">
        <v>29.41</v>
      </c>
      <c r="K21">
        <v>0.95</v>
      </c>
      <c r="L21">
        <v>2.052846876727473</v>
      </c>
      <c r="M21">
        <v>1.5535532131927909</v>
      </c>
      <c r="N21">
        <v>1.831578947368421</v>
      </c>
      <c r="O21">
        <v>93.33</v>
      </c>
      <c r="P21">
        <v>25.38</v>
      </c>
      <c r="Q21">
        <v>0.91</v>
      </c>
      <c r="R21">
        <v>93.33</v>
      </c>
      <c r="S21">
        <v>25.38</v>
      </c>
      <c r="T21">
        <v>0.91</v>
      </c>
      <c r="U21">
        <v>842.98260807075724</v>
      </c>
      <c r="V21">
        <v>191.77184631077861</v>
      </c>
      <c r="W21">
        <v>7.6169473684210516</v>
      </c>
      <c r="X21">
        <v>93.33</v>
      </c>
      <c r="Y21">
        <v>25.38</v>
      </c>
      <c r="Z21">
        <v>0.91</v>
      </c>
      <c r="AA21">
        <v>220.42599999999999</v>
      </c>
      <c r="AB21">
        <v>61.392999999999986</v>
      </c>
      <c r="AC21">
        <v>2.1680000000000001</v>
      </c>
      <c r="AD21">
        <v>385.57953602358572</v>
      </c>
      <c r="AE21">
        <v>92.848282103592865</v>
      </c>
      <c r="AF21">
        <v>3.56498245614035</v>
      </c>
      <c r="AG21">
        <v>3.1313568629978108</v>
      </c>
      <c r="AH21">
        <v>2.6583247479745018</v>
      </c>
      <c r="AI21">
        <v>3.1313568629978108</v>
      </c>
      <c r="AJ21">
        <v>2.6583247479745018</v>
      </c>
    </row>
    <row r="22" spans="1:36" x14ac:dyDescent="0.35">
      <c r="A22" t="s">
        <v>39</v>
      </c>
      <c r="B22">
        <v>533319</v>
      </c>
      <c r="C22" t="s">
        <v>72</v>
      </c>
      <c r="D22" t="s">
        <v>316</v>
      </c>
      <c r="E22" t="s">
        <v>281</v>
      </c>
      <c r="F22">
        <v>345.89</v>
      </c>
      <c r="G22">
        <v>167.72</v>
      </c>
      <c r="H22">
        <v>6.01</v>
      </c>
      <c r="I22">
        <v>135.81</v>
      </c>
      <c r="J22">
        <v>78.430000000000007</v>
      </c>
      <c r="K22">
        <v>2.54</v>
      </c>
      <c r="L22">
        <v>1.5468669464693321</v>
      </c>
      <c r="M22">
        <v>1.138467423179905</v>
      </c>
      <c r="N22">
        <v>1.3661417322834639</v>
      </c>
      <c r="O22">
        <v>116.67</v>
      </c>
      <c r="P22">
        <v>56.57</v>
      </c>
      <c r="Q22">
        <v>2.0299999999999998</v>
      </c>
      <c r="R22">
        <v>116.67</v>
      </c>
      <c r="S22">
        <v>56.57</v>
      </c>
      <c r="T22">
        <v>2.0299999999999998</v>
      </c>
      <c r="U22">
        <v>880.93580811427717</v>
      </c>
      <c r="V22">
        <v>358.66375621573371</v>
      </c>
      <c r="W22">
        <v>14.22051181102362</v>
      </c>
      <c r="X22">
        <v>116.67</v>
      </c>
      <c r="Y22">
        <v>56.57</v>
      </c>
      <c r="Z22">
        <v>2.0299999999999998</v>
      </c>
      <c r="AA22">
        <v>282.86599999999999</v>
      </c>
      <c r="AB22">
        <v>140.93299999999999</v>
      </c>
      <c r="AC22">
        <v>4.9689999999999994</v>
      </c>
      <c r="AD22">
        <v>426.82393603809243</v>
      </c>
      <c r="AE22">
        <v>185.3889187385779</v>
      </c>
      <c r="AF22">
        <v>7.0731706036745408</v>
      </c>
      <c r="AG22">
        <v>2.6583863550020772</v>
      </c>
      <c r="AH22">
        <v>2.277159602944633</v>
      </c>
      <c r="AI22">
        <v>2.6583863550020772</v>
      </c>
      <c r="AJ22">
        <v>2.277159602944633</v>
      </c>
    </row>
    <row r="23" spans="1:36" x14ac:dyDescent="0.35">
      <c r="A23" t="s">
        <v>39</v>
      </c>
      <c r="B23">
        <v>718307</v>
      </c>
      <c r="C23" t="s">
        <v>72</v>
      </c>
      <c r="D23" t="s">
        <v>332</v>
      </c>
      <c r="E23" t="s">
        <v>281</v>
      </c>
      <c r="F23">
        <v>90</v>
      </c>
      <c r="G23">
        <v>31.86</v>
      </c>
      <c r="H23">
        <v>1.1399999999999999</v>
      </c>
      <c r="I23">
        <v>56.89</v>
      </c>
      <c r="J23">
        <v>24.51</v>
      </c>
      <c r="K23">
        <v>0.79</v>
      </c>
      <c r="L23">
        <v>0.58200035155563357</v>
      </c>
      <c r="M23">
        <v>0.29987760097919208</v>
      </c>
      <c r="N23">
        <v>0.44303797468354439</v>
      </c>
      <c r="O23">
        <v>60</v>
      </c>
      <c r="P23">
        <v>21.24</v>
      </c>
      <c r="Q23">
        <v>0.76</v>
      </c>
      <c r="R23">
        <v>60</v>
      </c>
      <c r="S23">
        <v>21.24</v>
      </c>
      <c r="T23">
        <v>0.76</v>
      </c>
      <c r="U23">
        <v>142.38003164000699</v>
      </c>
      <c r="V23">
        <v>41.414100367197058</v>
      </c>
      <c r="W23">
        <v>1.6450632911392411</v>
      </c>
      <c r="X23">
        <v>60</v>
      </c>
      <c r="Y23">
        <v>21.24</v>
      </c>
      <c r="Z23">
        <v>0.76</v>
      </c>
      <c r="AA23">
        <v>80.066999999999993</v>
      </c>
      <c r="AB23">
        <v>29.655000000000001</v>
      </c>
      <c r="AC23">
        <v>1.0349999999999999</v>
      </c>
      <c r="AD23">
        <v>94.149010546669004</v>
      </c>
      <c r="AE23">
        <v>30.769700122399019</v>
      </c>
      <c r="AF23">
        <v>1.1466877637130799</v>
      </c>
      <c r="AG23">
        <v>0.56915017577781679</v>
      </c>
      <c r="AH23">
        <v>0.44866761404891808</v>
      </c>
      <c r="AI23">
        <v>0.56915017577781679</v>
      </c>
      <c r="AJ23">
        <v>0.44866761404891808</v>
      </c>
    </row>
    <row r="24" spans="1:36" x14ac:dyDescent="0.35">
      <c r="A24" t="s">
        <v>39</v>
      </c>
      <c r="B24">
        <v>718331</v>
      </c>
      <c r="C24" t="s">
        <v>72</v>
      </c>
      <c r="D24" t="s">
        <v>342</v>
      </c>
      <c r="E24" t="s">
        <v>281</v>
      </c>
      <c r="F24">
        <v>295.04000000000002</v>
      </c>
      <c r="G24">
        <v>152.54</v>
      </c>
      <c r="H24">
        <v>5.4700000000000006</v>
      </c>
      <c r="I24">
        <v>133.72</v>
      </c>
      <c r="J24">
        <v>84.24</v>
      </c>
      <c r="K24">
        <v>2.73</v>
      </c>
      <c r="L24">
        <v>1.2064014358360751</v>
      </c>
      <c r="M24">
        <v>0.81077872744539414</v>
      </c>
      <c r="N24">
        <v>1.0036630036630041</v>
      </c>
      <c r="O24">
        <v>100</v>
      </c>
      <c r="P24">
        <v>51.7</v>
      </c>
      <c r="Q24">
        <v>1.85</v>
      </c>
      <c r="R24">
        <v>100</v>
      </c>
      <c r="S24">
        <v>51.7</v>
      </c>
      <c r="T24">
        <v>1.85</v>
      </c>
      <c r="U24">
        <v>650.97667962907553</v>
      </c>
      <c r="V24">
        <v>276.21618708452041</v>
      </c>
      <c r="W24">
        <v>10.96003663003663</v>
      </c>
      <c r="X24">
        <v>100</v>
      </c>
      <c r="Y24">
        <v>51.7</v>
      </c>
      <c r="Z24">
        <v>1.85</v>
      </c>
      <c r="AA24">
        <v>246.64399999999989</v>
      </c>
      <c r="AB24">
        <v>132.05000000000001</v>
      </c>
      <c r="AC24">
        <v>4.6479999999999997</v>
      </c>
      <c r="AD24">
        <v>332.5402265430252</v>
      </c>
      <c r="AE24">
        <v>153.3220623615068</v>
      </c>
      <c r="AF24">
        <v>5.8193455433455439</v>
      </c>
      <c r="AG24">
        <v>2.325402265430252</v>
      </c>
      <c r="AH24">
        <v>1.9656104905513889</v>
      </c>
      <c r="AI24">
        <v>2.325402265430252</v>
      </c>
      <c r="AJ24">
        <v>1.9656104905513889</v>
      </c>
    </row>
    <row r="25" spans="1:36" x14ac:dyDescent="0.35">
      <c r="A25" t="s">
        <v>39</v>
      </c>
      <c r="B25">
        <v>475652</v>
      </c>
      <c r="C25" t="s">
        <v>72</v>
      </c>
      <c r="D25" t="s">
        <v>357</v>
      </c>
      <c r="E25" t="s">
        <v>358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6" x14ac:dyDescent="0.35">
      <c r="A26" t="s">
        <v>39</v>
      </c>
      <c r="B26">
        <v>475862</v>
      </c>
      <c r="C26" t="s">
        <v>72</v>
      </c>
      <c r="D26" t="s">
        <v>363</v>
      </c>
      <c r="E26" t="s">
        <v>358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6" x14ac:dyDescent="0.35">
      <c r="A27" t="s">
        <v>39</v>
      </c>
      <c r="B27">
        <v>476517</v>
      </c>
      <c r="C27" t="s">
        <v>72</v>
      </c>
      <c r="D27" t="s">
        <v>366</v>
      </c>
      <c r="E27" t="s">
        <v>358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6" x14ac:dyDescent="0.35">
      <c r="A28" t="s">
        <v>39</v>
      </c>
      <c r="B28">
        <v>476515</v>
      </c>
      <c r="C28" t="s">
        <v>72</v>
      </c>
      <c r="D28" t="s">
        <v>369</v>
      </c>
      <c r="E28" t="s">
        <v>358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6" x14ac:dyDescent="0.35">
      <c r="A29" t="s">
        <v>39</v>
      </c>
      <c r="B29">
        <v>475982</v>
      </c>
      <c r="C29" t="s">
        <v>72</v>
      </c>
      <c r="D29" t="s">
        <v>371</v>
      </c>
      <c r="E29" t="s">
        <v>372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6" x14ac:dyDescent="0.35">
      <c r="A30" t="s">
        <v>39</v>
      </c>
      <c r="B30">
        <v>475871</v>
      </c>
      <c r="C30" t="s">
        <v>72</v>
      </c>
      <c r="D30" t="s">
        <v>376</v>
      </c>
      <c r="E30" t="s">
        <v>372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6" x14ac:dyDescent="0.35">
      <c r="A31" t="s">
        <v>39</v>
      </c>
      <c r="B31">
        <v>475875</v>
      </c>
      <c r="C31" t="s">
        <v>72</v>
      </c>
      <c r="D31" t="s">
        <v>379</v>
      </c>
      <c r="E31" t="s">
        <v>372</v>
      </c>
      <c r="F31">
        <v>134.86000000000001</v>
      </c>
      <c r="G31">
        <v>1983.38</v>
      </c>
      <c r="H31">
        <v>47.65</v>
      </c>
      <c r="I31">
        <v>55.58</v>
      </c>
      <c r="J31">
        <v>882.56</v>
      </c>
      <c r="K31">
        <v>19.27</v>
      </c>
      <c r="L31">
        <v>1.4264123785534359</v>
      </c>
      <c r="M31">
        <v>1.2473032994923861</v>
      </c>
      <c r="N31">
        <v>1.472755578619616</v>
      </c>
      <c r="O31">
        <v>43.2</v>
      </c>
      <c r="P31">
        <v>635.33000000000004</v>
      </c>
      <c r="Q31">
        <v>15.26</v>
      </c>
      <c r="R31">
        <v>46.8</v>
      </c>
      <c r="S31">
        <v>688.27</v>
      </c>
      <c r="T31">
        <v>16.54</v>
      </c>
      <c r="U31">
        <v>327.22597337171629</v>
      </c>
      <c r="V31">
        <v>4457.2564181472071</v>
      </c>
      <c r="W31">
        <v>117.8268033212247</v>
      </c>
      <c r="X31">
        <v>43.2</v>
      </c>
      <c r="Y31">
        <v>635.33000000000004</v>
      </c>
      <c r="Z31">
        <v>15.26</v>
      </c>
      <c r="AA31">
        <v>111.07599999999999</v>
      </c>
      <c r="AB31">
        <v>1653.134</v>
      </c>
      <c r="AC31">
        <v>39.136000000000003</v>
      </c>
      <c r="AD31">
        <v>160.50065779057209</v>
      </c>
      <c r="AE31">
        <v>2248.573472715736</v>
      </c>
      <c r="AF31">
        <v>57.407601107074903</v>
      </c>
      <c r="AG31">
        <v>2.7152930044113912</v>
      </c>
      <c r="AH31">
        <v>2.5392213065898588</v>
      </c>
      <c r="AI31">
        <v>2.4295012348412839</v>
      </c>
      <c r="AJ31">
        <v>2.266993291463721</v>
      </c>
    </row>
    <row r="32" spans="1:36" x14ac:dyDescent="0.35">
      <c r="A32" t="s">
        <v>39</v>
      </c>
      <c r="B32">
        <v>475280</v>
      </c>
      <c r="C32" t="s">
        <v>72</v>
      </c>
      <c r="D32" t="s">
        <v>396</v>
      </c>
      <c r="E32" t="s">
        <v>397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6" x14ac:dyDescent="0.35">
      <c r="A33" t="s">
        <v>39</v>
      </c>
      <c r="B33">
        <v>475987</v>
      </c>
      <c r="C33" t="s">
        <v>72</v>
      </c>
      <c r="D33" t="s">
        <v>399</v>
      </c>
      <c r="E33" t="s">
        <v>397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6" x14ac:dyDescent="0.35">
      <c r="A34" t="s">
        <v>39</v>
      </c>
      <c r="B34">
        <v>475281</v>
      </c>
      <c r="C34" t="s">
        <v>72</v>
      </c>
      <c r="D34" t="s">
        <v>401</v>
      </c>
      <c r="E34" t="s">
        <v>397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6" x14ac:dyDescent="0.35">
      <c r="A35" t="s">
        <v>39</v>
      </c>
      <c r="B35">
        <v>475988</v>
      </c>
      <c r="C35" t="s">
        <v>72</v>
      </c>
      <c r="D35" t="s">
        <v>403</v>
      </c>
      <c r="E35" t="s">
        <v>397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6" x14ac:dyDescent="0.35">
      <c r="A36" t="s">
        <v>39</v>
      </c>
      <c r="B36">
        <v>476043</v>
      </c>
      <c r="C36" t="s">
        <v>72</v>
      </c>
      <c r="D36" t="s">
        <v>405</v>
      </c>
      <c r="E36" t="s">
        <v>372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6" x14ac:dyDescent="0.35">
      <c r="A37" t="s">
        <v>39</v>
      </c>
      <c r="B37">
        <v>476956</v>
      </c>
      <c r="C37" t="s">
        <v>72</v>
      </c>
      <c r="D37" t="s">
        <v>407</v>
      </c>
      <c r="E37" t="s">
        <v>372</v>
      </c>
      <c r="F37">
        <v>2639.3</v>
      </c>
      <c r="H37">
        <v>105.58</v>
      </c>
      <c r="K37">
        <v>41.35</v>
      </c>
      <c r="N37">
        <v>1.553325272067714</v>
      </c>
      <c r="O37">
        <v>900</v>
      </c>
      <c r="Q37">
        <v>36</v>
      </c>
      <c r="R37">
        <v>875</v>
      </c>
      <c r="T37">
        <v>35</v>
      </c>
      <c r="W37">
        <v>269.58008222490918</v>
      </c>
      <c r="X37">
        <v>900</v>
      </c>
      <c r="Z37">
        <v>36</v>
      </c>
      <c r="AC37">
        <v>86.310999999999979</v>
      </c>
      <c r="AD37">
        <v>900</v>
      </c>
      <c r="AF37">
        <v>130.63036074163639</v>
      </c>
      <c r="AG37">
        <v>0</v>
      </c>
      <c r="AI37">
        <v>2.857142857142847E-2</v>
      </c>
    </row>
    <row r="38" spans="1:36" x14ac:dyDescent="0.35">
      <c r="A38" t="s">
        <v>39</v>
      </c>
      <c r="B38">
        <v>476963</v>
      </c>
      <c r="C38" t="s">
        <v>72</v>
      </c>
      <c r="D38" t="s">
        <v>426</v>
      </c>
      <c r="E38" t="s">
        <v>372</v>
      </c>
      <c r="F38">
        <v>889.56000000000006</v>
      </c>
      <c r="G38">
        <v>2330.65</v>
      </c>
      <c r="H38">
        <v>53.38</v>
      </c>
      <c r="I38">
        <v>277.89999999999998</v>
      </c>
      <c r="J38">
        <v>805.92</v>
      </c>
      <c r="K38">
        <v>16.670000000000002</v>
      </c>
      <c r="L38">
        <v>2.201007556675064</v>
      </c>
      <c r="M38">
        <v>1.891912348620211</v>
      </c>
      <c r="N38">
        <v>2.2021595680863819</v>
      </c>
      <c r="O38">
        <v>320</v>
      </c>
      <c r="P38">
        <v>838.4</v>
      </c>
      <c r="Q38">
        <v>19.2</v>
      </c>
      <c r="R38">
        <v>296</v>
      </c>
      <c r="S38">
        <v>775.52</v>
      </c>
      <c r="T38">
        <v>17.760000000000002</v>
      </c>
      <c r="U38">
        <v>2847.4882821158699</v>
      </c>
      <c r="V38">
        <v>6740.0355153116943</v>
      </c>
      <c r="W38">
        <v>170.93127774445111</v>
      </c>
      <c r="X38">
        <v>320</v>
      </c>
      <c r="Y38">
        <v>838.4</v>
      </c>
      <c r="Z38">
        <v>19.2</v>
      </c>
      <c r="AA38">
        <v>706.06200000000001</v>
      </c>
      <c r="AB38">
        <v>1873.231</v>
      </c>
      <c r="AC38">
        <v>42.36699999999999</v>
      </c>
      <c r="AD38">
        <v>1291.1834273719569</v>
      </c>
      <c r="AE38">
        <v>3150.5555051038982</v>
      </c>
      <c r="AF38">
        <v>77.49942591481701</v>
      </c>
      <c r="AG38">
        <v>3.034948210537364</v>
      </c>
      <c r="AH38">
        <v>2.7578190662021682</v>
      </c>
      <c r="AI38">
        <v>3.362106173553908</v>
      </c>
      <c r="AJ38">
        <v>3.0625070985969391</v>
      </c>
    </row>
    <row r="39" spans="1:36" x14ac:dyDescent="0.35">
      <c r="A39" t="s">
        <v>39</v>
      </c>
      <c r="B39">
        <v>476005</v>
      </c>
      <c r="C39" t="s">
        <v>72</v>
      </c>
      <c r="D39" t="s">
        <v>446</v>
      </c>
      <c r="E39" t="s">
        <v>372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6" x14ac:dyDescent="0.35">
      <c r="A40" t="s">
        <v>39</v>
      </c>
      <c r="B40">
        <v>475266</v>
      </c>
      <c r="C40" t="s">
        <v>72</v>
      </c>
      <c r="D40" t="s">
        <v>448</v>
      </c>
      <c r="E40" t="s">
        <v>372</v>
      </c>
      <c r="F40">
        <v>938.24</v>
      </c>
      <c r="G40">
        <v>700.56000000000006</v>
      </c>
      <c r="H40">
        <v>18.760000000000002</v>
      </c>
      <c r="I40">
        <v>369.57</v>
      </c>
      <c r="J40">
        <v>354.78</v>
      </c>
      <c r="K40">
        <v>9.86</v>
      </c>
      <c r="L40">
        <v>1.538734204616176</v>
      </c>
      <c r="M40">
        <v>0.97463216641298867</v>
      </c>
      <c r="N40">
        <v>0.9026369168356998</v>
      </c>
      <c r="O40">
        <v>160</v>
      </c>
      <c r="P40">
        <v>119.47</v>
      </c>
      <c r="Q40">
        <v>3.2</v>
      </c>
      <c r="R40">
        <v>80</v>
      </c>
      <c r="S40">
        <v>59.73</v>
      </c>
      <c r="T40">
        <v>1.6</v>
      </c>
      <c r="U40">
        <v>2381.9419801390809</v>
      </c>
      <c r="V40">
        <v>1383.348310502284</v>
      </c>
      <c r="W40">
        <v>35.693468559837733</v>
      </c>
      <c r="X40">
        <v>160</v>
      </c>
      <c r="Y40">
        <v>119.47</v>
      </c>
      <c r="Z40">
        <v>3.2</v>
      </c>
      <c r="AA40">
        <v>767.6389999999999</v>
      </c>
      <c r="AB40">
        <v>596.82600000000002</v>
      </c>
      <c r="AC40">
        <v>16.09</v>
      </c>
      <c r="AD40">
        <v>1103.19366004636</v>
      </c>
      <c r="AE40">
        <v>699.88143683409453</v>
      </c>
      <c r="AF40">
        <v>18.32782285327924</v>
      </c>
      <c r="AG40">
        <v>5.8949603752897506</v>
      </c>
      <c r="AH40">
        <v>4.8582191080111707</v>
      </c>
      <c r="AI40">
        <v>12.789920750579499</v>
      </c>
      <c r="AJ40">
        <v>10.71741899939887</v>
      </c>
    </row>
    <row r="41" spans="1:36" x14ac:dyDescent="0.35">
      <c r="A41" t="s">
        <v>39</v>
      </c>
      <c r="B41">
        <v>476955</v>
      </c>
      <c r="C41" t="s">
        <v>72</v>
      </c>
      <c r="D41" t="s">
        <v>468</v>
      </c>
      <c r="E41" t="s">
        <v>372</v>
      </c>
      <c r="F41">
        <v>1278.96</v>
      </c>
      <c r="G41">
        <v>1048.75</v>
      </c>
      <c r="H41">
        <v>25.58</v>
      </c>
      <c r="I41">
        <v>435.43</v>
      </c>
      <c r="J41">
        <v>438.33</v>
      </c>
      <c r="K41">
        <v>8.7100000000000009</v>
      </c>
      <c r="L41">
        <v>1.9372344578921989</v>
      </c>
      <c r="M41">
        <v>1.392603746036092</v>
      </c>
      <c r="N41">
        <v>1.936854190585533</v>
      </c>
      <c r="O41">
        <v>420</v>
      </c>
      <c r="P41">
        <v>344.4</v>
      </c>
      <c r="Q41">
        <v>8.4</v>
      </c>
      <c r="R41">
        <v>390</v>
      </c>
      <c r="S41">
        <v>319.8</v>
      </c>
      <c r="T41">
        <v>7.8</v>
      </c>
      <c r="U41">
        <v>3756.6053822658059</v>
      </c>
      <c r="V41">
        <v>2509.2431786553511</v>
      </c>
      <c r="W41">
        <v>75.124730195177946</v>
      </c>
      <c r="X41">
        <v>420</v>
      </c>
      <c r="Y41">
        <v>344.4</v>
      </c>
      <c r="Z41">
        <v>8.4</v>
      </c>
      <c r="AA41">
        <v>1025.9010000000001</v>
      </c>
      <c r="AB41">
        <v>865.62400000000002</v>
      </c>
      <c r="AC41">
        <v>20.518999999999998</v>
      </c>
      <c r="AD41">
        <v>1734.168794088602</v>
      </c>
      <c r="AE41">
        <v>1239.75572621845</v>
      </c>
      <c r="AF41">
        <v>34.681243398392652</v>
      </c>
      <c r="AG41">
        <v>3.1289733192585771</v>
      </c>
      <c r="AH41">
        <v>2.5997553026087412</v>
      </c>
      <c r="AI41">
        <v>3.4465866515092372</v>
      </c>
      <c r="AJ41">
        <v>2.8766595566555671</v>
      </c>
    </row>
    <row r="42" spans="1:36" x14ac:dyDescent="0.35">
      <c r="A42" t="s">
        <v>39</v>
      </c>
      <c r="B42">
        <v>475269</v>
      </c>
      <c r="C42" t="s">
        <v>72</v>
      </c>
      <c r="D42" t="s">
        <v>487</v>
      </c>
      <c r="E42" t="s">
        <v>372</v>
      </c>
      <c r="F42">
        <v>0</v>
      </c>
      <c r="G42">
        <v>0</v>
      </c>
      <c r="H42">
        <v>0</v>
      </c>
      <c r="I42">
        <v>266.91000000000003</v>
      </c>
      <c r="J42">
        <v>348.76</v>
      </c>
      <c r="K42">
        <v>7.12</v>
      </c>
      <c r="L42">
        <v>-1</v>
      </c>
      <c r="M42">
        <v>-1</v>
      </c>
      <c r="N42">
        <v>-1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80.073000000000008</v>
      </c>
      <c r="AB42">
        <v>104.628</v>
      </c>
      <c r="AC42">
        <v>2.1360000000000001</v>
      </c>
      <c r="AD42">
        <v>26.690999999999999</v>
      </c>
      <c r="AE42">
        <v>34.875999999999998</v>
      </c>
      <c r="AF42">
        <v>0.71200000000000008</v>
      </c>
    </row>
    <row r="43" spans="1:36" x14ac:dyDescent="0.35">
      <c r="A43" t="s">
        <v>39</v>
      </c>
      <c r="B43">
        <v>476006</v>
      </c>
      <c r="C43" t="s">
        <v>72</v>
      </c>
      <c r="D43" t="s">
        <v>492</v>
      </c>
      <c r="E43" t="s">
        <v>372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6" x14ac:dyDescent="0.35">
      <c r="A44" t="s">
        <v>39</v>
      </c>
      <c r="B44">
        <v>475278</v>
      </c>
      <c r="C44" t="s">
        <v>72</v>
      </c>
      <c r="D44" t="s">
        <v>494</v>
      </c>
      <c r="E44" t="s">
        <v>372</v>
      </c>
      <c r="F44">
        <v>800.02</v>
      </c>
      <c r="G44">
        <v>848.02</v>
      </c>
      <c r="H44">
        <v>21.34</v>
      </c>
      <c r="I44">
        <v>506.36</v>
      </c>
      <c r="J44">
        <v>654.89</v>
      </c>
      <c r="K44">
        <v>13.5</v>
      </c>
      <c r="L44">
        <v>0.5799431234694683</v>
      </c>
      <c r="M44">
        <v>0.29490448777657319</v>
      </c>
      <c r="N44">
        <v>0.58074074074074078</v>
      </c>
      <c r="O44">
        <v>171.43</v>
      </c>
      <c r="P44">
        <v>181.72</v>
      </c>
      <c r="Q44">
        <v>4.57</v>
      </c>
      <c r="R44">
        <v>114.29</v>
      </c>
      <c r="S44">
        <v>121.15</v>
      </c>
      <c r="T44">
        <v>3.05</v>
      </c>
      <c r="U44">
        <v>1263.9860976380439</v>
      </c>
      <c r="V44">
        <v>1098.1049037242899</v>
      </c>
      <c r="W44">
        <v>33.733007407407413</v>
      </c>
      <c r="X44">
        <v>171.43</v>
      </c>
      <c r="Y44">
        <v>181.72</v>
      </c>
      <c r="Z44">
        <v>4.57</v>
      </c>
      <c r="AA44">
        <v>711.92199999999991</v>
      </c>
      <c r="AB44">
        <v>790.0809999999999</v>
      </c>
      <c r="AC44">
        <v>18.988</v>
      </c>
      <c r="AD44">
        <v>715.77936587934801</v>
      </c>
      <c r="AE44">
        <v>689.9686345747632</v>
      </c>
      <c r="AF44">
        <v>19.097002469135798</v>
      </c>
      <c r="AG44">
        <v>3.1753448397558661</v>
      </c>
      <c r="AH44">
        <v>2.7968778041754518</v>
      </c>
      <c r="AI44">
        <v>5.2628345951469768</v>
      </c>
      <c r="AJ44">
        <v>4.6951600047442277</v>
      </c>
    </row>
    <row r="45" spans="1:36" x14ac:dyDescent="0.35">
      <c r="A45" t="s">
        <v>39</v>
      </c>
      <c r="B45">
        <v>680218</v>
      </c>
      <c r="C45" t="s">
        <v>72</v>
      </c>
      <c r="D45" t="s">
        <v>513</v>
      </c>
      <c r="E45" t="s">
        <v>514</v>
      </c>
      <c r="F45">
        <v>492.92</v>
      </c>
      <c r="G45">
        <v>506.06000000000012</v>
      </c>
      <c r="H45">
        <v>13.14</v>
      </c>
      <c r="I45">
        <v>387.91</v>
      </c>
      <c r="J45">
        <v>475.84</v>
      </c>
      <c r="K45">
        <v>10.34</v>
      </c>
      <c r="L45">
        <v>0.27070712278621317</v>
      </c>
      <c r="M45">
        <v>6.3508742434431831E-2</v>
      </c>
      <c r="N45">
        <v>0.27079303675048361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626.35695496378025</v>
      </c>
      <c r="V45">
        <v>538.19923419636859</v>
      </c>
      <c r="W45">
        <v>16.698220502901361</v>
      </c>
      <c r="X45">
        <v>0</v>
      </c>
      <c r="Y45">
        <v>0</v>
      </c>
      <c r="Z45">
        <v>0</v>
      </c>
      <c r="AA45">
        <v>461.41699999999997</v>
      </c>
      <c r="AB45">
        <v>496.99400000000003</v>
      </c>
      <c r="AC45">
        <v>12.3</v>
      </c>
      <c r="AD45">
        <v>362.59131832126008</v>
      </c>
      <c r="AE45">
        <v>345.06441139878962</v>
      </c>
      <c r="AF45">
        <v>9.6660735009671193</v>
      </c>
    </row>
    <row r="46" spans="1:36" x14ac:dyDescent="0.35">
      <c r="A46" t="s">
        <v>39</v>
      </c>
      <c r="B46">
        <v>680226</v>
      </c>
      <c r="C46" t="s">
        <v>72</v>
      </c>
      <c r="D46" t="s">
        <v>530</v>
      </c>
      <c r="E46" t="s">
        <v>514</v>
      </c>
      <c r="F46">
        <v>298.63</v>
      </c>
      <c r="G46">
        <v>565.4</v>
      </c>
      <c r="H46">
        <v>13.93</v>
      </c>
      <c r="I46">
        <v>222.08</v>
      </c>
      <c r="J46">
        <v>473.77</v>
      </c>
      <c r="K46">
        <v>10.36</v>
      </c>
      <c r="L46">
        <v>0.34469560518731979</v>
      </c>
      <c r="M46">
        <v>0.19340608312050159</v>
      </c>
      <c r="N46">
        <v>0.34459459459459468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401.56644857708932</v>
      </c>
      <c r="V46">
        <v>674.75179939633153</v>
      </c>
      <c r="W46">
        <v>18.730202702702709</v>
      </c>
      <c r="X46">
        <v>0</v>
      </c>
      <c r="Y46">
        <v>0</v>
      </c>
      <c r="Z46">
        <v>0</v>
      </c>
      <c r="AA46">
        <v>275.66500000000002</v>
      </c>
      <c r="AB46">
        <v>537.91099999999994</v>
      </c>
      <c r="AC46">
        <v>12.859</v>
      </c>
      <c r="AD46">
        <v>225.74381619236311</v>
      </c>
      <c r="AE46">
        <v>404.22093313211047</v>
      </c>
      <c r="AF46">
        <v>10.52973423423424</v>
      </c>
    </row>
    <row r="47" spans="1:36" x14ac:dyDescent="0.35">
      <c r="A47" t="s">
        <v>39</v>
      </c>
      <c r="B47">
        <v>698117</v>
      </c>
      <c r="C47" t="s">
        <v>72</v>
      </c>
      <c r="D47" t="s">
        <v>542</v>
      </c>
      <c r="E47" t="s">
        <v>543</v>
      </c>
      <c r="F47">
        <v>70.240000000000009</v>
      </c>
      <c r="G47">
        <v>29.5</v>
      </c>
      <c r="H47">
        <v>0.94</v>
      </c>
      <c r="I47">
        <v>0</v>
      </c>
      <c r="J47">
        <v>0</v>
      </c>
      <c r="K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X47">
        <v>0</v>
      </c>
      <c r="Y47">
        <v>0</v>
      </c>
      <c r="Z47">
        <v>0</v>
      </c>
      <c r="AA47">
        <v>49.168000000000013</v>
      </c>
      <c r="AB47">
        <v>20.65</v>
      </c>
      <c r="AC47">
        <v>0.65799999999999992</v>
      </c>
      <c r="AD47">
        <v>24.584</v>
      </c>
      <c r="AE47">
        <v>10.324999999999999</v>
      </c>
      <c r="AF47">
        <v>0.32900000000000001</v>
      </c>
    </row>
    <row r="48" spans="1:36" x14ac:dyDescent="0.35">
      <c r="A48" t="s">
        <v>39</v>
      </c>
      <c r="B48">
        <v>36572</v>
      </c>
      <c r="C48" t="s">
        <v>72</v>
      </c>
      <c r="D48" t="s">
        <v>552</v>
      </c>
      <c r="E48" t="s">
        <v>553</v>
      </c>
      <c r="F48">
        <v>29.4</v>
      </c>
      <c r="G48">
        <v>24.09</v>
      </c>
      <c r="H48">
        <v>1.62</v>
      </c>
      <c r="I48">
        <v>9.98</v>
      </c>
      <c r="J48">
        <v>10.26</v>
      </c>
      <c r="K48">
        <v>0.71</v>
      </c>
      <c r="L48">
        <v>1.9458917835671341</v>
      </c>
      <c r="M48">
        <v>1.3479532163742689</v>
      </c>
      <c r="N48">
        <v>1.28169014084507</v>
      </c>
      <c r="O48">
        <v>19.600000000000001</v>
      </c>
      <c r="P48">
        <v>16.07</v>
      </c>
      <c r="Q48">
        <v>1.08</v>
      </c>
      <c r="R48">
        <v>19.600000000000001</v>
      </c>
      <c r="S48">
        <v>16.07</v>
      </c>
      <c r="T48">
        <v>1.08</v>
      </c>
      <c r="U48">
        <v>86.609218436873761</v>
      </c>
      <c r="V48">
        <v>56.562192982456118</v>
      </c>
      <c r="W48">
        <v>3.696338028169015</v>
      </c>
      <c r="X48">
        <v>19.600000000000001</v>
      </c>
      <c r="Y48">
        <v>16.07</v>
      </c>
      <c r="Z48">
        <v>1.08</v>
      </c>
      <c r="AA48">
        <v>23.574000000000002</v>
      </c>
      <c r="AB48">
        <v>19.940999999999999</v>
      </c>
      <c r="AC48">
        <v>1.347</v>
      </c>
      <c r="AD48">
        <v>43.261072812291253</v>
      </c>
      <c r="AE48">
        <v>30.85773099415205</v>
      </c>
      <c r="AF48">
        <v>2.0411126760563381</v>
      </c>
      <c r="AG48">
        <v>1.207197592463839</v>
      </c>
      <c r="AH48">
        <v>0.92020728028326348</v>
      </c>
      <c r="AI48">
        <v>1.207197592463839</v>
      </c>
      <c r="AJ48">
        <v>0.92020728028326348</v>
      </c>
    </row>
    <row r="49" spans="1:36" x14ac:dyDescent="0.35">
      <c r="A49" t="s">
        <v>39</v>
      </c>
      <c r="B49">
        <v>263155</v>
      </c>
      <c r="C49" t="s">
        <v>72</v>
      </c>
      <c r="D49" t="s">
        <v>567</v>
      </c>
      <c r="E49" t="s">
        <v>568</v>
      </c>
      <c r="F49">
        <v>613.86</v>
      </c>
      <c r="G49">
        <v>182.17</v>
      </c>
      <c r="H49">
        <v>8.2999999999999989</v>
      </c>
      <c r="I49">
        <v>136.08000000000001</v>
      </c>
      <c r="J49">
        <v>50.74</v>
      </c>
      <c r="K49">
        <v>2.36</v>
      </c>
      <c r="L49">
        <v>3.5110229276895941</v>
      </c>
      <c r="M49">
        <v>2.5902640914465911</v>
      </c>
      <c r="N49">
        <v>2.5169491525423728</v>
      </c>
      <c r="O49">
        <v>204.52</v>
      </c>
      <c r="P49">
        <v>60.69</v>
      </c>
      <c r="Q49">
        <v>2.76</v>
      </c>
      <c r="R49">
        <v>272.17</v>
      </c>
      <c r="S49">
        <v>80.77</v>
      </c>
      <c r="T49">
        <v>3.67</v>
      </c>
      <c r="U49">
        <v>2769.136534391534</v>
      </c>
      <c r="V49">
        <v>654.03840953882548</v>
      </c>
      <c r="W49">
        <v>29.190677966101688</v>
      </c>
      <c r="X49">
        <v>204.52</v>
      </c>
      <c r="Y49">
        <v>60.69</v>
      </c>
      <c r="Z49">
        <v>2.76</v>
      </c>
      <c r="AA49">
        <v>470.52600000000001</v>
      </c>
      <c r="AB49">
        <v>142.74100000000001</v>
      </c>
      <c r="AC49">
        <v>6.5179999999999989</v>
      </c>
      <c r="AD49">
        <v>1148.0608447971781</v>
      </c>
      <c r="AE49">
        <v>285.8231365129418</v>
      </c>
      <c r="AF49">
        <v>12.82289265536723</v>
      </c>
      <c r="AG49">
        <v>4.6134404693779487</v>
      </c>
      <c r="AH49">
        <v>3.7095590132302161</v>
      </c>
      <c r="AI49">
        <v>3.218175569670346</v>
      </c>
      <c r="AJ49">
        <v>2.5387289403608002</v>
      </c>
    </row>
    <row r="50" spans="1:36" x14ac:dyDescent="0.35">
      <c r="A50" t="s">
        <v>39</v>
      </c>
      <c r="B50">
        <v>263156</v>
      </c>
      <c r="C50" t="s">
        <v>72</v>
      </c>
      <c r="D50" t="s">
        <v>582</v>
      </c>
      <c r="E50" t="s">
        <v>568</v>
      </c>
      <c r="F50">
        <v>427.17000000000007</v>
      </c>
      <c r="G50">
        <v>248.05</v>
      </c>
      <c r="H50">
        <v>18.75</v>
      </c>
      <c r="I50">
        <v>62.4</v>
      </c>
      <c r="J50">
        <v>45.43</v>
      </c>
      <c r="K50">
        <v>3.52</v>
      </c>
      <c r="L50">
        <v>5.8456730769230782</v>
      </c>
      <c r="M50">
        <v>4.460048426150121</v>
      </c>
      <c r="N50">
        <v>4.3267045454545459</v>
      </c>
      <c r="O50">
        <v>162.99</v>
      </c>
      <c r="P50">
        <v>94.64</v>
      </c>
      <c r="Q50">
        <v>7.15</v>
      </c>
      <c r="R50">
        <v>161.74</v>
      </c>
      <c r="S50">
        <v>93.92</v>
      </c>
      <c r="T50">
        <v>7.1</v>
      </c>
      <c r="U50">
        <v>2924.2661682692319</v>
      </c>
      <c r="V50">
        <v>1354.365012106538</v>
      </c>
      <c r="W50">
        <v>99.875710227272734</v>
      </c>
      <c r="X50">
        <v>162.99</v>
      </c>
      <c r="Y50">
        <v>94.64</v>
      </c>
      <c r="Z50">
        <v>7.15</v>
      </c>
      <c r="AA50">
        <v>317.73899999999998</v>
      </c>
      <c r="AB50">
        <v>187.26400000000001</v>
      </c>
      <c r="AC50">
        <v>14.180999999999999</v>
      </c>
      <c r="AD50">
        <v>1134.998389423077</v>
      </c>
      <c r="AE50">
        <v>545.42300403551246</v>
      </c>
      <c r="AF50">
        <v>40.402236742424243</v>
      </c>
      <c r="AG50">
        <v>5.963607518394241</v>
      </c>
      <c r="AH50">
        <v>4.7631340240438762</v>
      </c>
      <c r="AI50">
        <v>6.0174254323177783</v>
      </c>
      <c r="AJ50">
        <v>4.807314778913037</v>
      </c>
    </row>
    <row r="51" spans="1:36" x14ac:dyDescent="0.35">
      <c r="A51" t="s">
        <v>39</v>
      </c>
      <c r="B51">
        <v>263158</v>
      </c>
      <c r="C51" t="s">
        <v>72</v>
      </c>
      <c r="D51" t="s">
        <v>604</v>
      </c>
      <c r="E51" t="s">
        <v>568</v>
      </c>
      <c r="F51">
        <v>509.05</v>
      </c>
      <c r="G51">
        <v>207.16</v>
      </c>
      <c r="H51">
        <v>12.57</v>
      </c>
      <c r="I51">
        <v>204.8</v>
      </c>
      <c r="J51">
        <v>104.55</v>
      </c>
      <c r="K51">
        <v>6.5</v>
      </c>
      <c r="L51">
        <v>1.485595703125</v>
      </c>
      <c r="M51">
        <v>0.98144428503108561</v>
      </c>
      <c r="N51">
        <v>0.93384615384615399</v>
      </c>
      <c r="O51">
        <v>204.05</v>
      </c>
      <c r="P51">
        <v>83.04</v>
      </c>
      <c r="Q51">
        <v>5.04</v>
      </c>
      <c r="R51">
        <v>169.81</v>
      </c>
      <c r="S51">
        <v>69.099999999999994</v>
      </c>
      <c r="T51">
        <v>4.1900000000000004</v>
      </c>
      <c r="U51">
        <v>1265.292492675781</v>
      </c>
      <c r="V51">
        <v>410.47599808703973</v>
      </c>
      <c r="W51">
        <v>24.308446153846159</v>
      </c>
      <c r="X51">
        <v>204.05</v>
      </c>
      <c r="Y51">
        <v>83.04</v>
      </c>
      <c r="Z51">
        <v>5.04</v>
      </c>
      <c r="AA51">
        <v>417.77499999999998</v>
      </c>
      <c r="AB51">
        <v>176.37700000000001</v>
      </c>
      <c r="AC51">
        <v>10.749000000000001</v>
      </c>
      <c r="AD51">
        <v>629.03916422526038</v>
      </c>
      <c r="AE51">
        <v>223.29766602901319</v>
      </c>
      <c r="AF51">
        <v>13.365815384615381</v>
      </c>
      <c r="AG51">
        <v>2.0827697340125479</v>
      </c>
      <c r="AH51">
        <v>1.6890374040102749</v>
      </c>
      <c r="AI51">
        <v>2.7043705566530849</v>
      </c>
      <c r="AJ51">
        <v>2.2315147037483829</v>
      </c>
    </row>
    <row r="52" spans="1:36" x14ac:dyDescent="0.35">
      <c r="A52" t="s">
        <v>39</v>
      </c>
      <c r="B52">
        <v>263159</v>
      </c>
      <c r="C52" t="s">
        <v>72</v>
      </c>
      <c r="D52" t="s">
        <v>623</v>
      </c>
      <c r="E52" t="s">
        <v>568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6" x14ac:dyDescent="0.35">
      <c r="A53" t="s">
        <v>39</v>
      </c>
      <c r="B53">
        <v>263160</v>
      </c>
      <c r="C53" t="s">
        <v>72</v>
      </c>
      <c r="D53" t="s">
        <v>625</v>
      </c>
      <c r="E53" t="s">
        <v>568</v>
      </c>
      <c r="F53">
        <v>538.31000000000006</v>
      </c>
      <c r="G53">
        <v>169.47</v>
      </c>
      <c r="H53">
        <v>7.27</v>
      </c>
      <c r="I53">
        <v>200.48</v>
      </c>
      <c r="J53">
        <v>83.66</v>
      </c>
      <c r="K53">
        <v>3.49</v>
      </c>
      <c r="L53">
        <v>1.685105746209099</v>
      </c>
      <c r="M53">
        <v>1.0256992589050919</v>
      </c>
      <c r="N53">
        <v>1.0830945558739249</v>
      </c>
      <c r="O53">
        <v>201.44</v>
      </c>
      <c r="P53">
        <v>63.42</v>
      </c>
      <c r="Q53">
        <v>2.72</v>
      </c>
      <c r="R53">
        <v>201.19</v>
      </c>
      <c r="S53">
        <v>63.34</v>
      </c>
      <c r="T53">
        <v>2.72</v>
      </c>
      <c r="U53">
        <v>1445.4192742418199</v>
      </c>
      <c r="V53">
        <v>343.29525340664588</v>
      </c>
      <c r="W53">
        <v>15.14409742120344</v>
      </c>
      <c r="X53">
        <v>201.44</v>
      </c>
      <c r="Y53">
        <v>63.42</v>
      </c>
      <c r="Z53">
        <v>2.72</v>
      </c>
      <c r="AA53">
        <v>436.96100000000001</v>
      </c>
      <c r="AB53">
        <v>143.727</v>
      </c>
      <c r="AC53">
        <v>6.1359999999999992</v>
      </c>
      <c r="AD53">
        <v>694.6067580806066</v>
      </c>
      <c r="AE53">
        <v>183.48075113554859</v>
      </c>
      <c r="AF53">
        <v>8.0000324737344783</v>
      </c>
      <c r="AG53">
        <v>2.4482067021475711</v>
      </c>
      <c r="AH53">
        <v>1.8931055051332171</v>
      </c>
      <c r="AI53">
        <v>2.4524914661792661</v>
      </c>
      <c r="AJ53">
        <v>1.896759569553973</v>
      </c>
    </row>
    <row r="54" spans="1:36" x14ac:dyDescent="0.35">
      <c r="A54" t="s">
        <v>39</v>
      </c>
      <c r="B54">
        <v>263161</v>
      </c>
      <c r="C54" t="s">
        <v>72</v>
      </c>
      <c r="D54" t="s">
        <v>642</v>
      </c>
      <c r="E54" t="s">
        <v>568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6" x14ac:dyDescent="0.35">
      <c r="A55" t="s">
        <v>39</v>
      </c>
      <c r="B55">
        <v>263162</v>
      </c>
      <c r="C55" t="s">
        <v>72</v>
      </c>
      <c r="D55" t="s">
        <v>644</v>
      </c>
      <c r="E55" t="s">
        <v>568</v>
      </c>
      <c r="F55">
        <v>101.85</v>
      </c>
      <c r="G55">
        <v>64.320000000000007</v>
      </c>
      <c r="H55">
        <v>2.52</v>
      </c>
      <c r="I55">
        <v>68.209999999999994</v>
      </c>
      <c r="J55">
        <v>34.06</v>
      </c>
      <c r="K55">
        <v>2.11</v>
      </c>
      <c r="L55">
        <v>0.49318281776865591</v>
      </c>
      <c r="M55">
        <v>0.88843217850851453</v>
      </c>
      <c r="N55">
        <v>0.1943127962085309</v>
      </c>
      <c r="O55">
        <v>68.47</v>
      </c>
      <c r="P55">
        <v>43.23</v>
      </c>
      <c r="Q55">
        <v>1.69</v>
      </c>
      <c r="R55">
        <v>67.900000000000006</v>
      </c>
      <c r="S55">
        <v>42.87</v>
      </c>
      <c r="T55">
        <v>1.68</v>
      </c>
      <c r="U55">
        <v>152.0806699897376</v>
      </c>
      <c r="V55">
        <v>121.4639577216677</v>
      </c>
      <c r="W55">
        <v>3.0096682464454978</v>
      </c>
      <c r="X55">
        <v>68.47</v>
      </c>
      <c r="Y55">
        <v>43.23</v>
      </c>
      <c r="Z55">
        <v>1.69</v>
      </c>
      <c r="AA55">
        <v>91.757999999999996</v>
      </c>
      <c r="AB55">
        <v>55.241999999999997</v>
      </c>
      <c r="AC55">
        <v>2.3969999999999998</v>
      </c>
      <c r="AD55">
        <v>104.10288999657919</v>
      </c>
      <c r="AE55">
        <v>73.311985907222549</v>
      </c>
      <c r="AF55">
        <v>2.3655560821484989</v>
      </c>
      <c r="AG55">
        <v>0.5204160945900278</v>
      </c>
      <c r="AH55">
        <v>0.69585903093274482</v>
      </c>
      <c r="AI55">
        <v>0.53317952866832408</v>
      </c>
      <c r="AJ55">
        <v>0.71009997450950668</v>
      </c>
    </row>
    <row r="56" spans="1:36" x14ac:dyDescent="0.35">
      <c r="A56" t="s">
        <v>39</v>
      </c>
      <c r="B56">
        <v>263163</v>
      </c>
      <c r="C56" t="s">
        <v>72</v>
      </c>
      <c r="D56" t="s">
        <v>661</v>
      </c>
      <c r="E56" t="s">
        <v>568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6" x14ac:dyDescent="0.35">
      <c r="A57" t="s">
        <v>39</v>
      </c>
      <c r="B57">
        <v>263166</v>
      </c>
      <c r="C57" t="s">
        <v>72</v>
      </c>
      <c r="D57" t="s">
        <v>663</v>
      </c>
      <c r="E57" t="s">
        <v>281</v>
      </c>
      <c r="F57">
        <v>289.83</v>
      </c>
      <c r="G57">
        <v>293.67</v>
      </c>
      <c r="H57">
        <v>2.4900000000000002</v>
      </c>
      <c r="I57">
        <v>85.52</v>
      </c>
      <c r="J57">
        <v>108.45</v>
      </c>
      <c r="K57">
        <v>0.94</v>
      </c>
      <c r="L57">
        <v>2.3890318054256312</v>
      </c>
      <c r="M57">
        <v>1.707883817427386</v>
      </c>
      <c r="N57">
        <v>1.6489361702127661</v>
      </c>
      <c r="O57">
        <v>86.52</v>
      </c>
      <c r="P57">
        <v>87.67</v>
      </c>
      <c r="Q57">
        <v>0.74</v>
      </c>
      <c r="R57">
        <v>86.52</v>
      </c>
      <c r="S57">
        <v>87.67</v>
      </c>
      <c r="T57">
        <v>0.74</v>
      </c>
      <c r="U57">
        <v>982.24308816651069</v>
      </c>
      <c r="V57">
        <v>795.22424066390022</v>
      </c>
      <c r="W57">
        <v>6.5958510638297856</v>
      </c>
      <c r="X57">
        <v>86.52</v>
      </c>
      <c r="Y57">
        <v>87.67</v>
      </c>
      <c r="Z57">
        <v>0.74</v>
      </c>
      <c r="AA57">
        <v>228.53700000000001</v>
      </c>
      <c r="AB57">
        <v>238.10400000000001</v>
      </c>
      <c r="AC57">
        <v>2.024999999999999</v>
      </c>
      <c r="AD57">
        <v>432.43336272217022</v>
      </c>
      <c r="AE57">
        <v>373.66608022129998</v>
      </c>
      <c r="AF57">
        <v>3.1202836879432621</v>
      </c>
      <c r="AG57">
        <v>3.9980740027990089</v>
      </c>
      <c r="AH57">
        <v>3.2621886645522991</v>
      </c>
      <c r="AI57">
        <v>3.9980740027990089</v>
      </c>
      <c r="AJ57">
        <v>3.2621886645522991</v>
      </c>
    </row>
    <row r="58" spans="1:36" x14ac:dyDescent="0.35">
      <c r="A58" t="s">
        <v>39</v>
      </c>
      <c r="B58">
        <v>263168</v>
      </c>
      <c r="C58" t="s">
        <v>72</v>
      </c>
      <c r="D58" t="s">
        <v>679</v>
      </c>
      <c r="E58" t="s">
        <v>281</v>
      </c>
      <c r="F58">
        <v>202.38</v>
      </c>
      <c r="G58">
        <v>188.2</v>
      </c>
      <c r="H58">
        <v>2.58</v>
      </c>
      <c r="I58">
        <v>65.760000000000005</v>
      </c>
      <c r="J58">
        <v>76.2</v>
      </c>
      <c r="K58">
        <v>1.08</v>
      </c>
      <c r="L58">
        <v>2.0775547445255471</v>
      </c>
      <c r="M58">
        <v>1.469816272965879</v>
      </c>
      <c r="N58">
        <v>1.3888888888888891</v>
      </c>
      <c r="O58">
        <v>64.31</v>
      </c>
      <c r="P58">
        <v>59.81</v>
      </c>
      <c r="Q58">
        <v>0.82</v>
      </c>
      <c r="R58">
        <v>64.319999999999993</v>
      </c>
      <c r="S58">
        <v>59.81</v>
      </c>
      <c r="T58">
        <v>0.82</v>
      </c>
      <c r="U58">
        <v>622.83552919708018</v>
      </c>
      <c r="V58">
        <v>464.81942257217838</v>
      </c>
      <c r="W58">
        <v>6.1633333333333331</v>
      </c>
      <c r="X58">
        <v>64.31</v>
      </c>
      <c r="Y58">
        <v>59.81</v>
      </c>
      <c r="Z58">
        <v>0.82</v>
      </c>
      <c r="AA58">
        <v>161.39400000000001</v>
      </c>
      <c r="AB58">
        <v>154.6</v>
      </c>
      <c r="AC58">
        <v>2.13</v>
      </c>
      <c r="AD58">
        <v>282.84650973236012</v>
      </c>
      <c r="AE58">
        <v>226.4098075240594</v>
      </c>
      <c r="AF58">
        <v>3.0377777777777779</v>
      </c>
      <c r="AG58">
        <v>3.398173063790392</v>
      </c>
      <c r="AH58">
        <v>2.785484158569794</v>
      </c>
      <c r="AI58">
        <v>3.397489268226991</v>
      </c>
      <c r="AJ58">
        <v>2.785484158569794</v>
      </c>
    </row>
    <row r="59" spans="1:36" x14ac:dyDescent="0.35">
      <c r="A59" t="s">
        <v>39</v>
      </c>
      <c r="B59">
        <v>263172</v>
      </c>
      <c r="C59" t="s">
        <v>72</v>
      </c>
      <c r="D59" t="s">
        <v>691</v>
      </c>
      <c r="E59" t="s">
        <v>692</v>
      </c>
      <c r="F59">
        <v>0</v>
      </c>
      <c r="G59">
        <v>0</v>
      </c>
      <c r="H59">
        <v>0</v>
      </c>
      <c r="I59">
        <v>20.010000000000002</v>
      </c>
      <c r="J59">
        <v>31.4</v>
      </c>
      <c r="K59">
        <v>0.94</v>
      </c>
      <c r="L59">
        <v>-1</v>
      </c>
      <c r="M59">
        <v>-1</v>
      </c>
      <c r="N59">
        <v>-1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6.0030000000000001</v>
      </c>
      <c r="AB59">
        <v>9.42</v>
      </c>
      <c r="AC59">
        <v>0.28199999999999997</v>
      </c>
      <c r="AD59">
        <v>2.0009999999999999</v>
      </c>
      <c r="AE59">
        <v>3.14</v>
      </c>
      <c r="AF59">
        <v>9.3999999999999986E-2</v>
      </c>
    </row>
    <row r="60" spans="1:36" x14ac:dyDescent="0.35">
      <c r="A60" t="s">
        <v>39</v>
      </c>
      <c r="B60">
        <v>263173</v>
      </c>
      <c r="C60" t="s">
        <v>72</v>
      </c>
      <c r="D60" t="s">
        <v>698</v>
      </c>
      <c r="E60" t="s">
        <v>692</v>
      </c>
      <c r="F60">
        <v>60.3</v>
      </c>
      <c r="G60">
        <v>46.58</v>
      </c>
      <c r="H60">
        <v>3.51</v>
      </c>
      <c r="I60">
        <v>27.09</v>
      </c>
      <c r="J60">
        <v>26.82</v>
      </c>
      <c r="K60">
        <v>2.0299999999999998</v>
      </c>
      <c r="L60">
        <v>1.225913621262458</v>
      </c>
      <c r="M60">
        <v>0.7367636092468306</v>
      </c>
      <c r="N60">
        <v>0.72906403940886699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134.2225913621262</v>
      </c>
      <c r="V60">
        <v>80.898448918717364</v>
      </c>
      <c r="W60">
        <v>6.0690147783251227</v>
      </c>
      <c r="X60">
        <v>0</v>
      </c>
      <c r="Y60">
        <v>0</v>
      </c>
      <c r="Z60">
        <v>0</v>
      </c>
      <c r="AA60">
        <v>50.336999999999989</v>
      </c>
      <c r="AB60">
        <v>40.651999999999987</v>
      </c>
      <c r="AC60">
        <v>3.0659999999999998</v>
      </c>
      <c r="AD60">
        <v>61.519863787375407</v>
      </c>
      <c r="AE60">
        <v>40.516816306239122</v>
      </c>
      <c r="AF60">
        <v>3.045004926108374</v>
      </c>
    </row>
    <row r="61" spans="1:36" x14ac:dyDescent="0.35">
      <c r="A61" t="s">
        <v>39</v>
      </c>
      <c r="B61">
        <v>263174</v>
      </c>
      <c r="C61" t="s">
        <v>72</v>
      </c>
      <c r="D61" t="s">
        <v>709</v>
      </c>
      <c r="E61" t="s">
        <v>692</v>
      </c>
      <c r="F61">
        <v>0</v>
      </c>
      <c r="G61">
        <v>0</v>
      </c>
      <c r="H61">
        <v>0</v>
      </c>
      <c r="I61">
        <v>33.6</v>
      </c>
      <c r="J61">
        <v>33.81</v>
      </c>
      <c r="K61">
        <v>3.26</v>
      </c>
      <c r="L61">
        <v>-1</v>
      </c>
      <c r="M61">
        <v>-1</v>
      </c>
      <c r="N61">
        <v>-1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10.08</v>
      </c>
      <c r="AB61">
        <v>10.143000000000001</v>
      </c>
      <c r="AC61">
        <v>0.97799999999999987</v>
      </c>
      <c r="AD61">
        <v>3.36</v>
      </c>
      <c r="AE61">
        <v>3.3809999999999998</v>
      </c>
      <c r="AF61">
        <v>0.32600000000000001</v>
      </c>
    </row>
    <row r="62" spans="1:36" x14ac:dyDescent="0.35">
      <c r="A62" t="s">
        <v>39</v>
      </c>
      <c r="B62">
        <v>266931</v>
      </c>
      <c r="C62" t="s">
        <v>72</v>
      </c>
      <c r="D62" t="s">
        <v>717</v>
      </c>
      <c r="E62" t="s">
        <v>718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6" x14ac:dyDescent="0.35">
      <c r="A63" t="s">
        <v>39</v>
      </c>
      <c r="B63">
        <v>269417</v>
      </c>
      <c r="C63" t="s">
        <v>72</v>
      </c>
      <c r="D63" t="s">
        <v>720</v>
      </c>
      <c r="E63" t="s">
        <v>721</v>
      </c>
      <c r="F63">
        <v>1950.52</v>
      </c>
      <c r="G63">
        <v>705.05</v>
      </c>
      <c r="H63">
        <v>19.46</v>
      </c>
      <c r="I63">
        <v>639.08000000000004</v>
      </c>
      <c r="J63">
        <v>290.32</v>
      </c>
      <c r="K63">
        <v>8.1999999999999993</v>
      </c>
      <c r="L63">
        <v>2.0520748576078112</v>
      </c>
      <c r="M63">
        <v>1.428527142463488</v>
      </c>
      <c r="N63">
        <v>1.373170731707317</v>
      </c>
      <c r="O63">
        <v>683.93</v>
      </c>
      <c r="P63">
        <v>247.22</v>
      </c>
      <c r="Q63">
        <v>6.82</v>
      </c>
      <c r="R63">
        <v>683.93</v>
      </c>
      <c r="S63">
        <v>247.22</v>
      </c>
      <c r="T63">
        <v>6.82</v>
      </c>
      <c r="U63">
        <v>5953.1330512611876</v>
      </c>
      <c r="V63">
        <v>1712.2330617938819</v>
      </c>
      <c r="W63">
        <v>46.181902439024398</v>
      </c>
      <c r="X63">
        <v>683.93</v>
      </c>
      <c r="Y63">
        <v>247.22</v>
      </c>
      <c r="Z63">
        <v>6.82</v>
      </c>
      <c r="AA63">
        <v>1557.088</v>
      </c>
      <c r="AB63">
        <v>580.63099999999986</v>
      </c>
      <c r="AC63">
        <v>16.082000000000001</v>
      </c>
      <c r="AD63">
        <v>2731.3836837537292</v>
      </c>
      <c r="AE63">
        <v>846.69468726462731</v>
      </c>
      <c r="AF63">
        <v>23.0279674796748</v>
      </c>
      <c r="AG63">
        <v>2.993659707504758</v>
      </c>
      <c r="AH63">
        <v>2.4248632281556</v>
      </c>
      <c r="AI63">
        <v>2.993659707504758</v>
      </c>
      <c r="AJ63">
        <v>2.4248632281556</v>
      </c>
    </row>
    <row r="64" spans="1:36" x14ac:dyDescent="0.35">
      <c r="A64" t="s">
        <v>39</v>
      </c>
      <c r="B64">
        <v>269418</v>
      </c>
      <c r="C64" t="s">
        <v>72</v>
      </c>
      <c r="D64" t="s">
        <v>737</v>
      </c>
      <c r="E64" t="s">
        <v>721</v>
      </c>
      <c r="F64">
        <v>262.67</v>
      </c>
      <c r="G64">
        <v>193.43</v>
      </c>
      <c r="H64">
        <v>8.39</v>
      </c>
      <c r="I64">
        <v>58.06</v>
      </c>
      <c r="J64">
        <v>53.61</v>
      </c>
      <c r="K64">
        <v>2.39</v>
      </c>
      <c r="L64">
        <v>3.5241129865656209</v>
      </c>
      <c r="M64">
        <v>2.6080955045700431</v>
      </c>
      <c r="N64">
        <v>2.510460251046025</v>
      </c>
      <c r="O64">
        <v>74.010000000000005</v>
      </c>
      <c r="P64">
        <v>54.5</v>
      </c>
      <c r="Q64">
        <v>2.37</v>
      </c>
      <c r="R64">
        <v>74.010000000000005</v>
      </c>
      <c r="S64">
        <v>54.5</v>
      </c>
      <c r="T64">
        <v>2.37</v>
      </c>
      <c r="U64">
        <v>1188.348758181191</v>
      </c>
      <c r="V64">
        <v>697.91391344898352</v>
      </c>
      <c r="W64">
        <v>29.452761506276151</v>
      </c>
      <c r="X64">
        <v>74.010000000000005</v>
      </c>
      <c r="Y64">
        <v>54.5</v>
      </c>
      <c r="Z64">
        <v>2.37</v>
      </c>
      <c r="AA64">
        <v>201.28700000000001</v>
      </c>
      <c r="AB64">
        <v>151.48400000000001</v>
      </c>
      <c r="AC64">
        <v>6.59</v>
      </c>
      <c r="AD64">
        <v>487.88191939373053</v>
      </c>
      <c r="AE64">
        <v>301.2993044829945</v>
      </c>
      <c r="AF64">
        <v>12.80425383542538</v>
      </c>
      <c r="AG64">
        <v>5.5921080853091532</v>
      </c>
      <c r="AH64">
        <v>4.5284276051925598</v>
      </c>
      <c r="AI64">
        <v>5.5921080853091532</v>
      </c>
      <c r="AJ64">
        <v>4.5284276051925598</v>
      </c>
    </row>
    <row r="65" spans="1:36" x14ac:dyDescent="0.35">
      <c r="A65" t="s">
        <v>39</v>
      </c>
      <c r="B65">
        <v>281034</v>
      </c>
      <c r="C65" t="s">
        <v>72</v>
      </c>
      <c r="D65" t="s">
        <v>751</v>
      </c>
      <c r="E65" t="s">
        <v>752</v>
      </c>
      <c r="F65">
        <v>54.19</v>
      </c>
      <c r="G65">
        <v>40.75</v>
      </c>
      <c r="H65">
        <v>1.1299999999999999</v>
      </c>
      <c r="I65">
        <v>16.690000000000001</v>
      </c>
      <c r="J65">
        <v>15.72</v>
      </c>
      <c r="K65">
        <v>0.45</v>
      </c>
      <c r="L65">
        <v>2.246854403834631</v>
      </c>
      <c r="M65">
        <v>1.5922391857506359</v>
      </c>
      <c r="N65">
        <v>1.5111111111111111</v>
      </c>
      <c r="O65">
        <v>18.579999999999998</v>
      </c>
      <c r="P65">
        <v>13.97</v>
      </c>
      <c r="Q65">
        <v>0.39</v>
      </c>
      <c r="R65">
        <v>18.579999999999998</v>
      </c>
      <c r="S65">
        <v>13.97</v>
      </c>
      <c r="T65">
        <v>0.39</v>
      </c>
      <c r="U65">
        <v>175.9470401437986</v>
      </c>
      <c r="V65">
        <v>105.6337468193384</v>
      </c>
      <c r="W65">
        <v>2.8375555555555549</v>
      </c>
      <c r="X65">
        <v>18.579999999999998</v>
      </c>
      <c r="Y65">
        <v>13.97</v>
      </c>
      <c r="Z65">
        <v>0.39</v>
      </c>
      <c r="AA65">
        <v>42.939999999999991</v>
      </c>
      <c r="AB65">
        <v>33.241</v>
      </c>
      <c r="AC65">
        <v>0.92599999999999993</v>
      </c>
      <c r="AD65">
        <v>79.155680047932876</v>
      </c>
      <c r="AE65">
        <v>50.948248939779468</v>
      </c>
      <c r="AF65">
        <v>1.384518518518518</v>
      </c>
      <c r="AG65">
        <v>3.2602626505884218</v>
      </c>
      <c r="AH65">
        <v>2.6469755862404769</v>
      </c>
      <c r="AI65">
        <v>3.2602626505884218</v>
      </c>
      <c r="AJ65">
        <v>2.6469755862404769</v>
      </c>
    </row>
    <row r="66" spans="1:36" x14ac:dyDescent="0.35">
      <c r="A66" t="s">
        <v>39</v>
      </c>
      <c r="B66">
        <v>281035</v>
      </c>
      <c r="C66" t="s">
        <v>72</v>
      </c>
      <c r="D66" t="s">
        <v>767</v>
      </c>
      <c r="E66" t="s">
        <v>752</v>
      </c>
      <c r="F66">
        <v>95.78</v>
      </c>
      <c r="G66">
        <v>71.98</v>
      </c>
      <c r="H66">
        <v>2.8</v>
      </c>
      <c r="I66">
        <v>27.66</v>
      </c>
      <c r="J66">
        <v>26.01</v>
      </c>
      <c r="K66">
        <v>1.04</v>
      </c>
      <c r="L66">
        <v>2.462762111352133</v>
      </c>
      <c r="M66">
        <v>1.7673971549404071</v>
      </c>
      <c r="N66">
        <v>1.6923076923076921</v>
      </c>
      <c r="O66">
        <v>32.4</v>
      </c>
      <c r="P66">
        <v>24.35</v>
      </c>
      <c r="Q66">
        <v>0.95</v>
      </c>
      <c r="R66">
        <v>27</v>
      </c>
      <c r="S66">
        <v>20.29</v>
      </c>
      <c r="T66">
        <v>0.79</v>
      </c>
      <c r="U66">
        <v>331.66335502530728</v>
      </c>
      <c r="V66">
        <v>199.19724721261051</v>
      </c>
      <c r="W66">
        <v>7.5384615384615374</v>
      </c>
      <c r="X66">
        <v>32.4</v>
      </c>
      <c r="Y66">
        <v>24.35</v>
      </c>
      <c r="Z66">
        <v>0.95</v>
      </c>
      <c r="AA66">
        <v>75.343999999999994</v>
      </c>
      <c r="AB66">
        <v>58.189</v>
      </c>
      <c r="AC66">
        <v>2.2719999999999998</v>
      </c>
      <c r="AD66">
        <v>146.4691183417691</v>
      </c>
      <c r="AE66">
        <v>93.912082404203503</v>
      </c>
      <c r="AF66">
        <v>3.5868205128205131</v>
      </c>
      <c r="AG66">
        <v>3.5206518006718852</v>
      </c>
      <c r="AH66">
        <v>2.856759030973449</v>
      </c>
      <c r="AI66">
        <v>4.4247821608062621</v>
      </c>
      <c r="AJ66">
        <v>3.6284910007000248</v>
      </c>
    </row>
    <row r="67" spans="1:36" x14ac:dyDescent="0.35">
      <c r="A67" t="s">
        <v>39</v>
      </c>
      <c r="B67">
        <v>281036</v>
      </c>
      <c r="C67" t="s">
        <v>72</v>
      </c>
      <c r="D67" t="s">
        <v>780</v>
      </c>
      <c r="E67" t="s">
        <v>752</v>
      </c>
      <c r="F67">
        <v>263.08</v>
      </c>
      <c r="G67">
        <v>108.28</v>
      </c>
      <c r="H67">
        <v>4.37</v>
      </c>
      <c r="I67">
        <v>118.28</v>
      </c>
      <c r="J67">
        <v>61.08</v>
      </c>
      <c r="K67">
        <v>2.5299999999999998</v>
      </c>
      <c r="L67">
        <v>1.2242137301318901</v>
      </c>
      <c r="M67">
        <v>0.7727570399476098</v>
      </c>
      <c r="N67">
        <v>0.72727272727272751</v>
      </c>
      <c r="O67">
        <v>116.56</v>
      </c>
      <c r="P67">
        <v>47.98</v>
      </c>
      <c r="Q67">
        <v>1.94</v>
      </c>
      <c r="R67">
        <v>116.56</v>
      </c>
      <c r="S67">
        <v>47.98</v>
      </c>
      <c r="T67">
        <v>1.94</v>
      </c>
      <c r="U67">
        <v>585.14614812309765</v>
      </c>
      <c r="V67">
        <v>191.95413228552721</v>
      </c>
      <c r="W67">
        <v>7.5481818181818197</v>
      </c>
      <c r="X67">
        <v>116.56</v>
      </c>
      <c r="Y67">
        <v>47.98</v>
      </c>
      <c r="Z67">
        <v>1.94</v>
      </c>
      <c r="AA67">
        <v>219.64</v>
      </c>
      <c r="AB67">
        <v>94.11999999999999</v>
      </c>
      <c r="AC67">
        <v>3.8180000000000001</v>
      </c>
      <c r="AD67">
        <v>307.11538270769921</v>
      </c>
      <c r="AE67">
        <v>111.3513774285091</v>
      </c>
      <c r="AF67">
        <v>4.4353939393939399</v>
      </c>
      <c r="AG67">
        <v>1.6348265503405901</v>
      </c>
      <c r="AH67">
        <v>1.320787357826366</v>
      </c>
      <c r="AI67">
        <v>1.6348265503405901</v>
      </c>
      <c r="AJ67">
        <v>1.320787357826366</v>
      </c>
    </row>
    <row r="68" spans="1:36" x14ac:dyDescent="0.35">
      <c r="A68" t="s">
        <v>39</v>
      </c>
      <c r="B68">
        <v>307002</v>
      </c>
      <c r="C68" t="s">
        <v>72</v>
      </c>
      <c r="D68" t="s">
        <v>793</v>
      </c>
      <c r="E68" t="s">
        <v>215</v>
      </c>
      <c r="F68">
        <v>90.58</v>
      </c>
      <c r="G68">
        <v>102.05</v>
      </c>
      <c r="H68">
        <v>5.4300000000000006</v>
      </c>
      <c r="I68">
        <v>67.510000000000005</v>
      </c>
      <c r="J68">
        <v>104.1</v>
      </c>
      <c r="K68">
        <v>3.6</v>
      </c>
      <c r="L68">
        <v>0.34172715153310618</v>
      </c>
      <c r="M68">
        <v>-1.969260326609024E-2</v>
      </c>
      <c r="N68">
        <v>0.50833333333333353</v>
      </c>
      <c r="O68">
        <v>0</v>
      </c>
      <c r="P68">
        <v>0</v>
      </c>
      <c r="Q68">
        <v>0</v>
      </c>
      <c r="R68">
        <v>45.2</v>
      </c>
      <c r="S68">
        <v>50.93</v>
      </c>
      <c r="T68">
        <v>2.71</v>
      </c>
      <c r="U68">
        <v>121.53364538586879</v>
      </c>
      <c r="V68">
        <v>100.0403698366955</v>
      </c>
      <c r="W68">
        <v>8.1902500000000025</v>
      </c>
      <c r="X68">
        <v>0</v>
      </c>
      <c r="Y68">
        <v>0</v>
      </c>
      <c r="Z68">
        <v>0</v>
      </c>
      <c r="AA68">
        <v>83.658999999999992</v>
      </c>
      <c r="AB68">
        <v>102.66500000000001</v>
      </c>
      <c r="AC68">
        <v>4.8810000000000002</v>
      </c>
      <c r="AD68">
        <v>68.397548461956248</v>
      </c>
      <c r="AE68">
        <v>67.568456612231827</v>
      </c>
      <c r="AF68">
        <v>4.3570833333333354</v>
      </c>
      <c r="AI68">
        <v>0.51322009871584617</v>
      </c>
      <c r="AJ68">
        <v>0.32669264897372519</v>
      </c>
    </row>
    <row r="69" spans="1:36" x14ac:dyDescent="0.35">
      <c r="A69" t="s">
        <v>39</v>
      </c>
      <c r="B69">
        <v>307007</v>
      </c>
      <c r="C69" t="s">
        <v>72</v>
      </c>
      <c r="D69" t="s">
        <v>807</v>
      </c>
      <c r="E69" t="s">
        <v>215</v>
      </c>
      <c r="G69">
        <v>2352.4</v>
      </c>
      <c r="H69">
        <v>149.36000000000001</v>
      </c>
      <c r="K69">
        <v>57.7</v>
      </c>
      <c r="N69">
        <v>1.5885615251299821</v>
      </c>
      <c r="O69">
        <v>949.2</v>
      </c>
      <c r="P69">
        <v>797.33</v>
      </c>
      <c r="Q69">
        <v>50.62</v>
      </c>
      <c r="R69">
        <v>949.2</v>
      </c>
      <c r="S69">
        <v>797.33</v>
      </c>
      <c r="T69">
        <v>50.62</v>
      </c>
      <c r="W69">
        <v>386.62754939341409</v>
      </c>
      <c r="X69">
        <v>949.2</v>
      </c>
      <c r="Y69">
        <v>797.33</v>
      </c>
      <c r="Z69">
        <v>50.62</v>
      </c>
      <c r="AC69">
        <v>121.86199999999999</v>
      </c>
      <c r="AD69">
        <v>949.2</v>
      </c>
      <c r="AE69">
        <v>797.33</v>
      </c>
      <c r="AF69">
        <v>186.3698497978047</v>
      </c>
      <c r="AG69">
        <v>0</v>
      </c>
      <c r="AH69">
        <v>0</v>
      </c>
      <c r="AI69">
        <v>0</v>
      </c>
      <c r="AJ69">
        <v>0</v>
      </c>
    </row>
    <row r="70" spans="1:36" x14ac:dyDescent="0.35">
      <c r="A70" t="s">
        <v>39</v>
      </c>
      <c r="B70">
        <v>307022</v>
      </c>
      <c r="C70" t="s">
        <v>72</v>
      </c>
      <c r="D70" t="s">
        <v>826</v>
      </c>
      <c r="E70" t="s">
        <v>215</v>
      </c>
      <c r="F70">
        <v>17.440000000000001</v>
      </c>
      <c r="G70">
        <v>387.55</v>
      </c>
      <c r="H70">
        <v>28.15</v>
      </c>
      <c r="J70">
        <v>110.39</v>
      </c>
      <c r="K70">
        <v>6.25</v>
      </c>
      <c r="M70">
        <v>2.5107346679952891</v>
      </c>
      <c r="N70">
        <v>3.504</v>
      </c>
      <c r="O70">
        <v>5.36</v>
      </c>
      <c r="P70">
        <v>119.06</v>
      </c>
      <c r="Q70">
        <v>8.65</v>
      </c>
      <c r="R70">
        <v>0</v>
      </c>
      <c r="S70">
        <v>0</v>
      </c>
      <c r="T70">
        <v>0</v>
      </c>
      <c r="V70">
        <v>1360.585220581574</v>
      </c>
      <c r="W70">
        <v>126.7876</v>
      </c>
      <c r="X70">
        <v>5.36</v>
      </c>
      <c r="Y70">
        <v>119.06</v>
      </c>
      <c r="Z70">
        <v>8.65</v>
      </c>
      <c r="AB70">
        <v>304.40199999999999</v>
      </c>
      <c r="AC70">
        <v>21.58</v>
      </c>
      <c r="AD70">
        <v>5.36</v>
      </c>
      <c r="AE70">
        <v>594.68240686052468</v>
      </c>
      <c r="AF70">
        <v>52.339199999999977</v>
      </c>
      <c r="AG70">
        <v>0</v>
      </c>
      <c r="AH70">
        <v>3.9948127571016689</v>
      </c>
    </row>
    <row r="71" spans="1:36" x14ac:dyDescent="0.35">
      <c r="A71" t="s">
        <v>39</v>
      </c>
      <c r="B71">
        <v>307023</v>
      </c>
      <c r="C71" t="s">
        <v>72</v>
      </c>
      <c r="D71" t="s">
        <v>842</v>
      </c>
      <c r="E71" t="s">
        <v>215</v>
      </c>
      <c r="F71">
        <v>0</v>
      </c>
      <c r="G71">
        <v>0</v>
      </c>
      <c r="H71">
        <v>0</v>
      </c>
      <c r="J71">
        <v>22.47</v>
      </c>
      <c r="K71">
        <v>1.01</v>
      </c>
      <c r="M71">
        <v>-1</v>
      </c>
      <c r="N71">
        <v>-1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  <c r="AB71">
        <v>6.7409999999999997</v>
      </c>
      <c r="AC71">
        <v>0.30299999999999999</v>
      </c>
      <c r="AD71">
        <v>0</v>
      </c>
      <c r="AE71">
        <v>2.2469999999999999</v>
      </c>
      <c r="AF71">
        <v>0.10100000000000001</v>
      </c>
    </row>
    <row r="72" spans="1:36" x14ac:dyDescent="0.35">
      <c r="A72" t="s">
        <v>39</v>
      </c>
      <c r="B72">
        <v>756866</v>
      </c>
      <c r="C72" t="s">
        <v>72</v>
      </c>
      <c r="D72" t="s">
        <v>847</v>
      </c>
      <c r="E72" t="s">
        <v>215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6" x14ac:dyDescent="0.35">
      <c r="A73" t="s">
        <v>39</v>
      </c>
      <c r="B73">
        <v>340953</v>
      </c>
      <c r="C73" t="s">
        <v>72</v>
      </c>
      <c r="D73" t="s">
        <v>850</v>
      </c>
      <c r="E73" t="s">
        <v>281</v>
      </c>
      <c r="F73">
        <v>137.41</v>
      </c>
      <c r="G73">
        <v>280.55</v>
      </c>
      <c r="H73">
        <v>2.1800000000000002</v>
      </c>
      <c r="I73">
        <v>50.93</v>
      </c>
      <c r="J73">
        <v>130.53</v>
      </c>
      <c r="K73">
        <v>1.03</v>
      </c>
      <c r="L73">
        <v>1.6980168859218541</v>
      </c>
      <c r="M73">
        <v>1.1493143338696079</v>
      </c>
      <c r="N73">
        <v>1.116504854368932</v>
      </c>
      <c r="O73">
        <v>50.18</v>
      </c>
      <c r="P73">
        <v>102.45</v>
      </c>
      <c r="Q73">
        <v>0.79</v>
      </c>
      <c r="R73">
        <v>50.17</v>
      </c>
      <c r="S73">
        <v>102.44</v>
      </c>
      <c r="T73">
        <v>0.79</v>
      </c>
      <c r="U73">
        <v>370.73450029452192</v>
      </c>
      <c r="V73">
        <v>602.99013636711857</v>
      </c>
      <c r="W73">
        <v>4.6139805825242703</v>
      </c>
      <c r="X73">
        <v>50.18</v>
      </c>
      <c r="Y73">
        <v>102.45</v>
      </c>
      <c r="Z73">
        <v>0.79</v>
      </c>
      <c r="AA73">
        <v>111.46599999999999</v>
      </c>
      <c r="AB73">
        <v>235.54400000000001</v>
      </c>
      <c r="AC73">
        <v>1.835</v>
      </c>
      <c r="AD73">
        <v>177.46016676484061</v>
      </c>
      <c r="AE73">
        <v>313.66137878903947</v>
      </c>
      <c r="AF73">
        <v>2.4129935275080898</v>
      </c>
      <c r="AG73">
        <v>2.5364720359673298</v>
      </c>
      <c r="AH73">
        <v>2.0616044781751048</v>
      </c>
      <c r="AI73">
        <v>2.537176933722157</v>
      </c>
      <c r="AJ73">
        <v>2.0619033462420879</v>
      </c>
    </row>
    <row r="74" spans="1:36" x14ac:dyDescent="0.35">
      <c r="A74" t="s">
        <v>39</v>
      </c>
      <c r="B74">
        <v>340954</v>
      </c>
      <c r="C74" t="s">
        <v>72</v>
      </c>
      <c r="D74" t="s">
        <v>866</v>
      </c>
      <c r="E74" t="s">
        <v>281</v>
      </c>
      <c r="F74">
        <v>115.13</v>
      </c>
      <c r="G74">
        <v>207.43</v>
      </c>
      <c r="H74">
        <v>1.23</v>
      </c>
      <c r="I74">
        <v>28.58</v>
      </c>
      <c r="J74">
        <v>64.69</v>
      </c>
      <c r="K74">
        <v>0.39</v>
      </c>
      <c r="L74">
        <v>3.028341497550735</v>
      </c>
      <c r="M74">
        <v>2.2065234193847578</v>
      </c>
      <c r="N74">
        <v>2.1538461538461542</v>
      </c>
      <c r="O74">
        <v>38.200000000000003</v>
      </c>
      <c r="P74">
        <v>68.819999999999993</v>
      </c>
      <c r="Q74">
        <v>0.41</v>
      </c>
      <c r="R74">
        <v>38.200000000000003</v>
      </c>
      <c r="S74">
        <v>68.819999999999993</v>
      </c>
      <c r="T74">
        <v>0.41</v>
      </c>
      <c r="U74">
        <v>463.78295661301621</v>
      </c>
      <c r="V74">
        <v>665.12915288298041</v>
      </c>
      <c r="W74">
        <v>3.879230769230769</v>
      </c>
      <c r="X74">
        <v>38.200000000000003</v>
      </c>
      <c r="Y74">
        <v>68.819999999999993</v>
      </c>
      <c r="Z74">
        <v>0.41</v>
      </c>
      <c r="AA74">
        <v>89.165000000000006</v>
      </c>
      <c r="AB74">
        <v>164.608</v>
      </c>
      <c r="AC74">
        <v>0.97799999999999998</v>
      </c>
      <c r="AD74">
        <v>197.0493188710054</v>
      </c>
      <c r="AE74">
        <v>299.51905096099341</v>
      </c>
      <c r="AF74">
        <v>1.75574358974359</v>
      </c>
      <c r="AG74">
        <v>4.1583591327488323</v>
      </c>
      <c r="AH74">
        <v>3.3522094007700298</v>
      </c>
      <c r="AI74">
        <v>4.1583591327488323</v>
      </c>
      <c r="AJ74">
        <v>3.3522094007700298</v>
      </c>
    </row>
    <row r="75" spans="1:36" x14ac:dyDescent="0.35">
      <c r="A75" t="s">
        <v>39</v>
      </c>
      <c r="B75">
        <v>384654</v>
      </c>
      <c r="C75" t="s">
        <v>72</v>
      </c>
      <c r="D75" t="s">
        <v>879</v>
      </c>
      <c r="E75" t="s">
        <v>718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6" x14ac:dyDescent="0.35">
      <c r="A76" t="s">
        <v>39</v>
      </c>
      <c r="B76">
        <v>399217</v>
      </c>
      <c r="C76" t="s">
        <v>72</v>
      </c>
      <c r="D76" t="s">
        <v>881</v>
      </c>
      <c r="E76" t="s">
        <v>215</v>
      </c>
      <c r="F76">
        <v>24</v>
      </c>
      <c r="G76">
        <v>67.83</v>
      </c>
      <c r="H76">
        <v>2.4</v>
      </c>
      <c r="I76">
        <v>16.43</v>
      </c>
      <c r="J76">
        <v>50.79</v>
      </c>
      <c r="K76">
        <v>1.64</v>
      </c>
      <c r="L76">
        <v>0.46074254412659782</v>
      </c>
      <c r="M76">
        <v>0.3354991139988186</v>
      </c>
      <c r="N76">
        <v>0.46341463414634188</v>
      </c>
      <c r="O76">
        <v>0</v>
      </c>
      <c r="P76">
        <v>0</v>
      </c>
      <c r="Q76">
        <v>0</v>
      </c>
      <c r="R76">
        <v>8</v>
      </c>
      <c r="S76">
        <v>22.61</v>
      </c>
      <c r="T76">
        <v>0.8</v>
      </c>
      <c r="U76">
        <v>35.057821059038353</v>
      </c>
      <c r="V76">
        <v>90.586904902539857</v>
      </c>
      <c r="W76">
        <v>3.5121951219512209</v>
      </c>
      <c r="X76">
        <v>0</v>
      </c>
      <c r="Y76">
        <v>0</v>
      </c>
      <c r="Z76">
        <v>0</v>
      </c>
      <c r="AA76">
        <v>21.728999999999999</v>
      </c>
      <c r="AB76">
        <v>62.717999999999989</v>
      </c>
      <c r="AC76">
        <v>2.1720000000000002</v>
      </c>
      <c r="AD76">
        <v>18.928940353012781</v>
      </c>
      <c r="AE76">
        <v>51.101634967513277</v>
      </c>
      <c r="AF76">
        <v>1.894731707317074</v>
      </c>
      <c r="AI76">
        <v>1.366117544126598</v>
      </c>
      <c r="AJ76">
        <v>1.260134231203595</v>
      </c>
    </row>
    <row r="77" spans="1:36" x14ac:dyDescent="0.35">
      <c r="A77" t="s">
        <v>39</v>
      </c>
      <c r="B77">
        <v>481639</v>
      </c>
      <c r="C77" t="s">
        <v>72</v>
      </c>
      <c r="D77" t="s">
        <v>888</v>
      </c>
      <c r="E77" t="s">
        <v>215</v>
      </c>
      <c r="F77">
        <v>134.91</v>
      </c>
      <c r="G77">
        <v>144.80000000000001</v>
      </c>
      <c r="H77">
        <v>8.09</v>
      </c>
      <c r="I77">
        <v>67.790000000000006</v>
      </c>
      <c r="J77">
        <v>104.98</v>
      </c>
      <c r="K77">
        <v>3.62</v>
      </c>
      <c r="L77">
        <v>0.99011653636229502</v>
      </c>
      <c r="M77">
        <v>0.3793103448275863</v>
      </c>
      <c r="N77">
        <v>1.2348066298342539</v>
      </c>
      <c r="O77">
        <v>67.8</v>
      </c>
      <c r="P77">
        <v>72.77</v>
      </c>
      <c r="Q77">
        <v>4.07</v>
      </c>
      <c r="R77">
        <v>67.8</v>
      </c>
      <c r="S77">
        <v>72.77</v>
      </c>
      <c r="T77">
        <v>4.07</v>
      </c>
      <c r="U77">
        <v>268.48662192063722</v>
      </c>
      <c r="V77">
        <v>199.72413793103451</v>
      </c>
      <c r="W77">
        <v>18.079585635359109</v>
      </c>
      <c r="X77">
        <v>67.8</v>
      </c>
      <c r="Y77">
        <v>72.77</v>
      </c>
      <c r="Z77">
        <v>4.07</v>
      </c>
      <c r="AA77">
        <v>114.774</v>
      </c>
      <c r="AB77">
        <v>132.85400000000001</v>
      </c>
      <c r="AC77">
        <v>6.7489999999999997</v>
      </c>
      <c r="AD77">
        <v>150.3535406402124</v>
      </c>
      <c r="AE77">
        <v>135.11604597701151</v>
      </c>
      <c r="AF77">
        <v>9.6328618784530367</v>
      </c>
      <c r="AG77">
        <v>1.2176038442509201</v>
      </c>
      <c r="AH77">
        <v>0.85675478874552047</v>
      </c>
      <c r="AI77">
        <v>1.2176038442509201</v>
      </c>
      <c r="AJ77">
        <v>0.85675478874552047</v>
      </c>
    </row>
    <row r="78" spans="1:36" x14ac:dyDescent="0.35">
      <c r="A78" t="s">
        <v>39</v>
      </c>
      <c r="B78">
        <v>508440</v>
      </c>
      <c r="C78" t="s">
        <v>72</v>
      </c>
      <c r="D78" t="s">
        <v>905</v>
      </c>
      <c r="E78" t="s">
        <v>215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6" x14ac:dyDescent="0.35">
      <c r="A79" t="s">
        <v>39</v>
      </c>
      <c r="B79">
        <v>535022</v>
      </c>
      <c r="C79" t="s">
        <v>72</v>
      </c>
      <c r="D79" t="s">
        <v>907</v>
      </c>
      <c r="E79" t="s">
        <v>215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6" x14ac:dyDescent="0.35">
      <c r="A80" t="s">
        <v>39</v>
      </c>
      <c r="B80">
        <v>535031</v>
      </c>
      <c r="C80" t="s">
        <v>72</v>
      </c>
      <c r="D80" t="s">
        <v>907</v>
      </c>
      <c r="E80" t="s">
        <v>215</v>
      </c>
      <c r="F80">
        <v>1038.3599999999999</v>
      </c>
      <c r="G80">
        <v>1114.5</v>
      </c>
      <c r="H80">
        <v>62.3</v>
      </c>
      <c r="I80">
        <v>225.67</v>
      </c>
      <c r="J80">
        <v>349.51</v>
      </c>
      <c r="K80">
        <v>12.04</v>
      </c>
      <c r="L80">
        <v>3.6012318872690212</v>
      </c>
      <c r="M80">
        <v>2.1887499642356438</v>
      </c>
      <c r="N80">
        <v>4.1744186046511631</v>
      </c>
      <c r="O80">
        <v>248.6</v>
      </c>
      <c r="P80">
        <v>266.83</v>
      </c>
      <c r="Q80">
        <v>14.92</v>
      </c>
      <c r="R80">
        <v>248.6</v>
      </c>
      <c r="S80">
        <v>266.83</v>
      </c>
      <c r="T80">
        <v>14.92</v>
      </c>
      <c r="U80">
        <v>4777.7351424646604</v>
      </c>
      <c r="V80">
        <v>3553.8618351406249</v>
      </c>
      <c r="W80">
        <v>322.36627906976747</v>
      </c>
      <c r="X80">
        <v>248.6</v>
      </c>
      <c r="Y80">
        <v>266.83</v>
      </c>
      <c r="Z80">
        <v>14.92</v>
      </c>
      <c r="AA80">
        <v>794.55299999999988</v>
      </c>
      <c r="AB80">
        <v>885.00299999999993</v>
      </c>
      <c r="AC80">
        <v>47.221999999999987</v>
      </c>
      <c r="AD80">
        <v>1940.29604748822</v>
      </c>
      <c r="AE80">
        <v>1568.564945046875</v>
      </c>
      <c r="AF80">
        <v>128.16942635658921</v>
      </c>
      <c r="AG80">
        <v>6.8048915828166541</v>
      </c>
      <c r="AH80">
        <v>4.8785179516803776</v>
      </c>
      <c r="AI80">
        <v>6.8048915828166541</v>
      </c>
      <c r="AJ80">
        <v>4.8785179516803776</v>
      </c>
    </row>
    <row r="81" spans="1:36" x14ac:dyDescent="0.35">
      <c r="A81" t="s">
        <v>39</v>
      </c>
      <c r="B81">
        <v>557435</v>
      </c>
      <c r="C81" t="s">
        <v>72</v>
      </c>
      <c r="D81" t="s">
        <v>929</v>
      </c>
      <c r="E81" t="s">
        <v>215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6" x14ac:dyDescent="0.35">
      <c r="A82" t="s">
        <v>39</v>
      </c>
      <c r="B82">
        <v>557442</v>
      </c>
      <c r="C82" t="s">
        <v>72</v>
      </c>
      <c r="D82" t="s">
        <v>932</v>
      </c>
      <c r="E82" t="s">
        <v>215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6" x14ac:dyDescent="0.35">
      <c r="A83" t="s">
        <v>39</v>
      </c>
      <c r="B83">
        <v>573186</v>
      </c>
      <c r="C83" t="s">
        <v>72</v>
      </c>
      <c r="D83" t="s">
        <v>934</v>
      </c>
      <c r="E83" t="s">
        <v>74</v>
      </c>
      <c r="F83">
        <v>17.579999999999998</v>
      </c>
      <c r="G83">
        <v>45.72</v>
      </c>
      <c r="H83">
        <v>2.7</v>
      </c>
      <c r="I83">
        <v>0</v>
      </c>
      <c r="J83">
        <v>0</v>
      </c>
      <c r="K83">
        <v>0</v>
      </c>
      <c r="O83">
        <v>6</v>
      </c>
      <c r="P83">
        <v>15.6</v>
      </c>
      <c r="Q83">
        <v>0.92</v>
      </c>
      <c r="R83">
        <v>6</v>
      </c>
      <c r="S83">
        <v>15.6</v>
      </c>
      <c r="T83">
        <v>0.92</v>
      </c>
      <c r="X83">
        <v>6</v>
      </c>
      <c r="Y83">
        <v>15.6</v>
      </c>
      <c r="Z83">
        <v>0.92</v>
      </c>
      <c r="AA83">
        <v>12.305999999999999</v>
      </c>
      <c r="AB83">
        <v>32.003999999999998</v>
      </c>
      <c r="AC83">
        <v>1.89</v>
      </c>
      <c r="AD83">
        <v>9.1530000000000005</v>
      </c>
      <c r="AE83">
        <v>23.802</v>
      </c>
      <c r="AF83">
        <v>1.405</v>
      </c>
      <c r="AG83">
        <v>0.52550000000000008</v>
      </c>
      <c r="AH83">
        <v>0.52576923076923077</v>
      </c>
      <c r="AI83">
        <v>0.52550000000000008</v>
      </c>
      <c r="AJ83">
        <v>0.52576923076923077</v>
      </c>
    </row>
    <row r="84" spans="1:36" x14ac:dyDescent="0.35">
      <c r="A84" t="s">
        <v>39</v>
      </c>
      <c r="B84">
        <v>583229</v>
      </c>
      <c r="C84" t="s">
        <v>72</v>
      </c>
      <c r="D84" t="s">
        <v>942</v>
      </c>
      <c r="E84" t="s">
        <v>943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6" x14ac:dyDescent="0.35">
      <c r="A85" t="s">
        <v>39</v>
      </c>
      <c r="B85">
        <v>586844</v>
      </c>
      <c r="C85" t="s">
        <v>72</v>
      </c>
      <c r="D85" t="s">
        <v>945</v>
      </c>
      <c r="E85" t="s">
        <v>74</v>
      </c>
      <c r="F85">
        <v>88.16</v>
      </c>
      <c r="G85">
        <v>236.25</v>
      </c>
      <c r="H85">
        <v>10.58</v>
      </c>
      <c r="I85">
        <v>19.53</v>
      </c>
      <c r="J85">
        <v>101.43</v>
      </c>
      <c r="K85">
        <v>2.21</v>
      </c>
      <c r="L85">
        <v>3.514080901177675</v>
      </c>
      <c r="M85">
        <v>1.329192546583851</v>
      </c>
      <c r="N85">
        <v>3.7873303167420809</v>
      </c>
      <c r="O85">
        <v>19.66</v>
      </c>
      <c r="P85">
        <v>52.7</v>
      </c>
      <c r="Q85">
        <v>2.36</v>
      </c>
      <c r="R85">
        <v>19.66</v>
      </c>
      <c r="S85">
        <v>52.7</v>
      </c>
      <c r="T85">
        <v>2.36</v>
      </c>
      <c r="U85">
        <v>397.96137224782382</v>
      </c>
      <c r="V85">
        <v>550.27173913043464</v>
      </c>
      <c r="W85">
        <v>50.649954751131219</v>
      </c>
      <c r="X85">
        <v>19.66</v>
      </c>
      <c r="Y85">
        <v>52.7</v>
      </c>
      <c r="Z85">
        <v>2.36</v>
      </c>
      <c r="AA85">
        <v>67.570999999999998</v>
      </c>
      <c r="AB85">
        <v>195.804</v>
      </c>
      <c r="AC85">
        <v>8.0689999999999991</v>
      </c>
      <c r="AD85">
        <v>161.7307907492746</v>
      </c>
      <c r="AE85">
        <v>266.25857971014489</v>
      </c>
      <c r="AF85">
        <v>20.359651583710409</v>
      </c>
      <c r="AG85">
        <v>7.2263881357718507</v>
      </c>
      <c r="AH85">
        <v>4.0523449660369044</v>
      </c>
      <c r="AI85">
        <v>7.2263881357718507</v>
      </c>
      <c r="AJ85">
        <v>4.0523449660369044</v>
      </c>
    </row>
    <row r="86" spans="1:36" x14ac:dyDescent="0.35">
      <c r="A86" t="s">
        <v>39</v>
      </c>
      <c r="B86">
        <v>586869</v>
      </c>
      <c r="C86" t="s">
        <v>72</v>
      </c>
      <c r="D86" t="s">
        <v>957</v>
      </c>
      <c r="E86" t="s">
        <v>943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6" x14ac:dyDescent="0.35">
      <c r="A87" t="s">
        <v>39</v>
      </c>
      <c r="B87">
        <v>587585</v>
      </c>
      <c r="C87" t="s">
        <v>72</v>
      </c>
      <c r="D87" t="s">
        <v>959</v>
      </c>
      <c r="E87" t="s">
        <v>74</v>
      </c>
      <c r="F87">
        <v>117.77</v>
      </c>
      <c r="G87">
        <v>147.61000000000001</v>
      </c>
      <c r="H87">
        <v>7.06</v>
      </c>
      <c r="I87">
        <v>38.81</v>
      </c>
      <c r="J87">
        <v>98.57</v>
      </c>
      <c r="K87">
        <v>2.0699999999999998</v>
      </c>
      <c r="L87">
        <v>2.0345271837155372</v>
      </c>
      <c r="M87">
        <v>0.49751445673125683</v>
      </c>
      <c r="N87">
        <v>2.410628019323672</v>
      </c>
      <c r="O87">
        <v>39.33</v>
      </c>
      <c r="P87">
        <v>49.29</v>
      </c>
      <c r="Q87">
        <v>2.36</v>
      </c>
      <c r="R87">
        <v>39.33</v>
      </c>
      <c r="S87">
        <v>49.29</v>
      </c>
      <c r="T87">
        <v>2.36</v>
      </c>
      <c r="U87">
        <v>357.37626642617869</v>
      </c>
      <c r="V87">
        <v>221.04810895810081</v>
      </c>
      <c r="W87">
        <v>24.079033816425131</v>
      </c>
      <c r="X87">
        <v>39.33</v>
      </c>
      <c r="Y87">
        <v>49.29</v>
      </c>
      <c r="Z87">
        <v>2.36</v>
      </c>
      <c r="AA87">
        <v>94.081999999999994</v>
      </c>
      <c r="AB87">
        <v>132.898</v>
      </c>
      <c r="AC87">
        <v>5.5629999999999997</v>
      </c>
      <c r="AD87">
        <v>163.59608880872631</v>
      </c>
      <c r="AE87">
        <v>134.4120363193669</v>
      </c>
      <c r="AF87">
        <v>10.667344605475041</v>
      </c>
      <c r="AG87">
        <v>3.1595751031967012</v>
      </c>
      <c r="AH87">
        <v>1.726963609644288</v>
      </c>
      <c r="AI87">
        <v>3.1595751031967012</v>
      </c>
      <c r="AJ87">
        <v>1.726963609644288</v>
      </c>
    </row>
    <row r="88" spans="1:36" x14ac:dyDescent="0.35">
      <c r="A88" t="s">
        <v>39</v>
      </c>
      <c r="B88">
        <v>633477</v>
      </c>
      <c r="C88" t="s">
        <v>72</v>
      </c>
      <c r="D88" t="s">
        <v>970</v>
      </c>
      <c r="E88" t="s">
        <v>215</v>
      </c>
      <c r="F88">
        <v>0</v>
      </c>
      <c r="G88">
        <v>0</v>
      </c>
      <c r="H88">
        <v>0</v>
      </c>
      <c r="I88">
        <v>674.07</v>
      </c>
      <c r="J88">
        <v>51.17</v>
      </c>
      <c r="K88">
        <v>1.05</v>
      </c>
      <c r="L88">
        <v>-1</v>
      </c>
      <c r="M88">
        <v>-1</v>
      </c>
      <c r="N88">
        <v>-1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202.221</v>
      </c>
      <c r="AB88">
        <v>15.351000000000001</v>
      </c>
      <c r="AC88">
        <v>0.315</v>
      </c>
      <c r="AD88">
        <v>67.406999999999996</v>
      </c>
      <c r="AE88">
        <v>5.117</v>
      </c>
      <c r="AF88">
        <v>0.105</v>
      </c>
    </row>
    <row r="89" spans="1:36" x14ac:dyDescent="0.35">
      <c r="A89" t="s">
        <v>39</v>
      </c>
      <c r="B89">
        <v>724228</v>
      </c>
      <c r="C89" t="s">
        <v>72</v>
      </c>
      <c r="D89" t="s">
        <v>976</v>
      </c>
      <c r="E89" t="s">
        <v>215</v>
      </c>
      <c r="F89">
        <v>66.19</v>
      </c>
      <c r="G89">
        <v>241.38</v>
      </c>
      <c r="H89">
        <v>5.74</v>
      </c>
      <c r="I89">
        <v>16.559999999999999</v>
      </c>
      <c r="J89">
        <v>68.319999999999993</v>
      </c>
      <c r="K89">
        <v>1.43</v>
      </c>
      <c r="L89">
        <v>2.9969806763285032</v>
      </c>
      <c r="M89">
        <v>2.5330796252927401</v>
      </c>
      <c r="N89">
        <v>3.0139860139860142</v>
      </c>
      <c r="O89">
        <v>16</v>
      </c>
      <c r="P89">
        <v>58.35</v>
      </c>
      <c r="Q89">
        <v>1.39</v>
      </c>
      <c r="R89">
        <v>16</v>
      </c>
      <c r="S89">
        <v>58.35</v>
      </c>
      <c r="T89">
        <v>1.39</v>
      </c>
      <c r="U89">
        <v>264.56015096618358</v>
      </c>
      <c r="V89">
        <v>852.81475995316157</v>
      </c>
      <c r="W89">
        <v>23.04027972027972</v>
      </c>
      <c r="X89">
        <v>16</v>
      </c>
      <c r="Y89">
        <v>58.35</v>
      </c>
      <c r="Z89">
        <v>1.39</v>
      </c>
      <c r="AA89">
        <v>51.300999999999988</v>
      </c>
      <c r="AB89">
        <v>189.46199999999999</v>
      </c>
      <c r="AC89">
        <v>4.4470000000000001</v>
      </c>
      <c r="AD89">
        <v>110.62038365539451</v>
      </c>
      <c r="AE89">
        <v>366.87558665105388</v>
      </c>
      <c r="AF89">
        <v>9.6257599067599084</v>
      </c>
      <c r="AG89">
        <v>5.9137739784621566</v>
      </c>
      <c r="AH89">
        <v>5.2874993427772727</v>
      </c>
      <c r="AI89">
        <v>5.9137739784621566</v>
      </c>
      <c r="AJ89">
        <v>5.2874993427772727</v>
      </c>
    </row>
    <row r="90" spans="1:36" x14ac:dyDescent="0.35">
      <c r="A90" t="s">
        <v>39</v>
      </c>
      <c r="B90">
        <v>724788</v>
      </c>
      <c r="C90" t="s">
        <v>72</v>
      </c>
      <c r="D90" t="s">
        <v>989</v>
      </c>
      <c r="E90" t="s">
        <v>215</v>
      </c>
      <c r="F90">
        <v>1739.78</v>
      </c>
      <c r="G90">
        <v>1913.76</v>
      </c>
      <c r="H90">
        <v>104.39</v>
      </c>
      <c r="K90">
        <v>63.66</v>
      </c>
      <c r="N90">
        <v>0.63980521520578093</v>
      </c>
      <c r="O90">
        <v>926.6</v>
      </c>
      <c r="Q90">
        <v>55.6</v>
      </c>
      <c r="R90">
        <v>203.4</v>
      </c>
      <c r="S90">
        <v>223.74</v>
      </c>
      <c r="T90">
        <v>12.2</v>
      </c>
      <c r="W90">
        <v>171.17926641533151</v>
      </c>
      <c r="X90">
        <v>926.6</v>
      </c>
      <c r="Z90">
        <v>55.6</v>
      </c>
      <c r="AC90">
        <v>92.171000000000006</v>
      </c>
      <c r="AD90">
        <v>926.6</v>
      </c>
      <c r="AF90">
        <v>106.3167554717772</v>
      </c>
      <c r="AG90">
        <v>0</v>
      </c>
      <c r="AI90">
        <v>3.5555555555555549</v>
      </c>
    </row>
    <row r="91" spans="1:36" x14ac:dyDescent="0.35">
      <c r="A91" t="s">
        <v>39</v>
      </c>
      <c r="B91">
        <v>736193</v>
      </c>
      <c r="C91" t="s">
        <v>72</v>
      </c>
      <c r="D91" t="s">
        <v>1011</v>
      </c>
      <c r="E91" t="s">
        <v>1012</v>
      </c>
      <c r="F91">
        <v>1804.36</v>
      </c>
      <c r="G91">
        <v>609.1</v>
      </c>
      <c r="H91">
        <v>11.98</v>
      </c>
      <c r="I91">
        <v>349.51</v>
      </c>
      <c r="J91">
        <v>149.72999999999999</v>
      </c>
      <c r="K91">
        <v>2.98</v>
      </c>
      <c r="L91">
        <v>4.1625418442963014</v>
      </c>
      <c r="M91">
        <v>3.0679890469511788</v>
      </c>
      <c r="N91">
        <v>3.0201342281879202</v>
      </c>
      <c r="O91">
        <v>490</v>
      </c>
      <c r="P91">
        <v>165.41</v>
      </c>
      <c r="Q91">
        <v>3.25</v>
      </c>
      <c r="R91">
        <v>490</v>
      </c>
      <c r="S91">
        <v>165.41</v>
      </c>
      <c r="T91">
        <v>3.25</v>
      </c>
      <c r="U91">
        <v>9315.0840021744752</v>
      </c>
      <c r="V91">
        <v>2477.8121284979629</v>
      </c>
      <c r="W91">
        <v>48.161208053691283</v>
      </c>
      <c r="X91">
        <v>490</v>
      </c>
      <c r="Y91">
        <v>165.41</v>
      </c>
      <c r="Z91">
        <v>3.25</v>
      </c>
      <c r="AA91">
        <v>1367.905</v>
      </c>
      <c r="AB91">
        <v>471.28899999999999</v>
      </c>
      <c r="AC91">
        <v>9.2799999999999994</v>
      </c>
      <c r="AD91">
        <v>3724.329667391492</v>
      </c>
      <c r="AE91">
        <v>1038.170376165988</v>
      </c>
      <c r="AF91">
        <v>20.23040268456376</v>
      </c>
      <c r="AG91">
        <v>6.6006727905948814</v>
      </c>
      <c r="AH91">
        <v>5.2763459051205341</v>
      </c>
      <c r="AI91">
        <v>6.6006727905948814</v>
      </c>
      <c r="AJ91">
        <v>5.2763459051205341</v>
      </c>
    </row>
    <row r="92" spans="1:36" x14ac:dyDescent="0.35">
      <c r="A92" t="s">
        <v>39</v>
      </c>
      <c r="B92">
        <v>742118</v>
      </c>
      <c r="C92" t="s">
        <v>72</v>
      </c>
      <c r="D92" t="s">
        <v>1028</v>
      </c>
      <c r="E92" t="s">
        <v>1029</v>
      </c>
      <c r="G92">
        <v>2386.71</v>
      </c>
      <c r="H92">
        <v>381.48</v>
      </c>
      <c r="J92">
        <v>712.64</v>
      </c>
      <c r="K92">
        <v>116.85</v>
      </c>
      <c r="M92">
        <v>2.3491103502469688</v>
      </c>
      <c r="N92">
        <v>2.2646983311938391</v>
      </c>
      <c r="P92">
        <v>699.06</v>
      </c>
      <c r="Q92">
        <v>111.73</v>
      </c>
      <c r="S92">
        <v>699.06</v>
      </c>
      <c r="T92">
        <v>111.73</v>
      </c>
      <c r="V92">
        <v>7993.3551640379437</v>
      </c>
      <c r="W92">
        <v>1245.417119383826</v>
      </c>
      <c r="Y92">
        <v>699.06</v>
      </c>
      <c r="Z92">
        <v>111.73</v>
      </c>
      <c r="AB92">
        <v>1884.489</v>
      </c>
      <c r="AC92">
        <v>302.09100000000001</v>
      </c>
      <c r="AE92">
        <v>3525.6347213459808</v>
      </c>
      <c r="AF92">
        <v>553.07937312794184</v>
      </c>
      <c r="AH92">
        <v>4.0433935875976044</v>
      </c>
      <c r="AJ92">
        <v>4.0433935875976044</v>
      </c>
    </row>
    <row r="93" spans="1:36" x14ac:dyDescent="0.35">
      <c r="A93" t="s">
        <v>39</v>
      </c>
      <c r="B93">
        <v>742119</v>
      </c>
      <c r="C93" t="s">
        <v>72</v>
      </c>
      <c r="D93" t="s">
        <v>1048</v>
      </c>
      <c r="E93" t="s">
        <v>1029</v>
      </c>
      <c r="F93">
        <v>1474.68</v>
      </c>
      <c r="G93">
        <v>703.29</v>
      </c>
      <c r="H93">
        <v>40.549999999999997</v>
      </c>
      <c r="I93">
        <v>406.6</v>
      </c>
      <c r="J93">
        <v>243.37</v>
      </c>
      <c r="K93">
        <v>14.38</v>
      </c>
      <c r="L93">
        <v>2.6268568617806189</v>
      </c>
      <c r="M93">
        <v>1.8897974277848539</v>
      </c>
      <c r="N93">
        <v>1.8198887343532679</v>
      </c>
      <c r="O93">
        <v>411.17</v>
      </c>
      <c r="P93">
        <v>196.09</v>
      </c>
      <c r="Q93">
        <v>11.31</v>
      </c>
      <c r="R93">
        <v>411.17</v>
      </c>
      <c r="S93">
        <v>196.09</v>
      </c>
      <c r="T93">
        <v>11.31</v>
      </c>
      <c r="U93">
        <v>5348.4532769306434</v>
      </c>
      <c r="V93">
        <v>2032.3656329868099</v>
      </c>
      <c r="W93">
        <v>114.346488178025</v>
      </c>
      <c r="X93">
        <v>411.17</v>
      </c>
      <c r="Y93">
        <v>196.09</v>
      </c>
      <c r="Z93">
        <v>11.31</v>
      </c>
      <c r="AA93">
        <v>1154.2560000000001</v>
      </c>
      <c r="AB93">
        <v>565.31399999999996</v>
      </c>
      <c r="AC93">
        <v>32.698999999999998</v>
      </c>
      <c r="AD93">
        <v>2304.6264256435479</v>
      </c>
      <c r="AE93">
        <v>931.25654432893646</v>
      </c>
      <c r="AF93">
        <v>52.785162726008338</v>
      </c>
      <c r="AG93">
        <v>4.6050451775264438</v>
      </c>
      <c r="AH93">
        <v>3.7491281775151029</v>
      </c>
      <c r="AI93">
        <v>4.6050451775264438</v>
      </c>
      <c r="AJ93">
        <v>3.7491281775151029</v>
      </c>
    </row>
    <row r="94" spans="1:36" x14ac:dyDescent="0.35">
      <c r="A94" t="s">
        <v>39</v>
      </c>
      <c r="B94">
        <v>509684</v>
      </c>
      <c r="C94" t="s">
        <v>72</v>
      </c>
      <c r="D94" t="s">
        <v>1064</v>
      </c>
      <c r="E94" t="s">
        <v>568</v>
      </c>
      <c r="F94">
        <v>320.47000000000003</v>
      </c>
      <c r="G94">
        <v>1191.08</v>
      </c>
      <c r="H94">
        <v>5.19</v>
      </c>
      <c r="I94">
        <v>84.16</v>
      </c>
      <c r="J94">
        <v>625.53</v>
      </c>
      <c r="K94">
        <v>1.75</v>
      </c>
      <c r="L94">
        <v>2.8078659695817501</v>
      </c>
      <c r="M94">
        <v>0.90411331191149902</v>
      </c>
      <c r="N94">
        <v>1.9657142857142851</v>
      </c>
      <c r="O94">
        <v>90</v>
      </c>
      <c r="P94">
        <v>334.51</v>
      </c>
      <c r="Q94">
        <v>1.46</v>
      </c>
      <c r="R94">
        <v>90</v>
      </c>
      <c r="S94">
        <v>334.51</v>
      </c>
      <c r="T94">
        <v>1.46</v>
      </c>
      <c r="U94">
        <v>1220.3068072718629</v>
      </c>
      <c r="V94">
        <v>2267.9512835515479</v>
      </c>
      <c r="W94">
        <v>15.392057142857141</v>
      </c>
      <c r="X94">
        <v>90</v>
      </c>
      <c r="Y94">
        <v>334.51</v>
      </c>
      <c r="Z94">
        <v>1.46</v>
      </c>
      <c r="AA94">
        <v>249.577</v>
      </c>
      <c r="AB94">
        <v>1021.415</v>
      </c>
      <c r="AC94">
        <v>4.1579999999999986</v>
      </c>
      <c r="AD94">
        <v>519.96126909062116</v>
      </c>
      <c r="AE94">
        <v>1207.958761183849</v>
      </c>
      <c r="AF94">
        <v>7.0033523809523794</v>
      </c>
      <c r="AG94">
        <v>4.7773474343402347</v>
      </c>
      <c r="AH94">
        <v>2.6111289981879451</v>
      </c>
      <c r="AI94">
        <v>4.7773474343402347</v>
      </c>
      <c r="AJ94">
        <v>2.6111289981879451</v>
      </c>
    </row>
    <row r="95" spans="1:36" x14ac:dyDescent="0.35">
      <c r="A95" t="s">
        <v>39</v>
      </c>
      <c r="B95">
        <v>509685</v>
      </c>
      <c r="C95" t="s">
        <v>72</v>
      </c>
      <c r="D95" t="s">
        <v>1078</v>
      </c>
      <c r="E95" t="s">
        <v>568</v>
      </c>
      <c r="F95">
        <v>52.960000000000008</v>
      </c>
      <c r="G95">
        <v>649.86</v>
      </c>
      <c r="H95">
        <v>2.85</v>
      </c>
      <c r="I95">
        <v>17.14</v>
      </c>
      <c r="J95">
        <v>422.24</v>
      </c>
      <c r="K95">
        <v>1.18</v>
      </c>
      <c r="L95">
        <v>2.0898483080513421</v>
      </c>
      <c r="M95">
        <v>0.53907730200833659</v>
      </c>
      <c r="N95">
        <v>1.4152542372881349</v>
      </c>
      <c r="O95">
        <v>27</v>
      </c>
      <c r="P95">
        <v>331.37</v>
      </c>
      <c r="Q95">
        <v>1.45</v>
      </c>
      <c r="R95">
        <v>27</v>
      </c>
      <c r="S95">
        <v>331.37</v>
      </c>
      <c r="T95">
        <v>1.45</v>
      </c>
      <c r="U95">
        <v>163.6383663943991</v>
      </c>
      <c r="V95">
        <v>1000.184775483138</v>
      </c>
      <c r="W95">
        <v>6.8834745762711851</v>
      </c>
      <c r="X95">
        <v>27</v>
      </c>
      <c r="Y95">
        <v>331.37</v>
      </c>
      <c r="Z95">
        <v>1.45</v>
      </c>
      <c r="AA95">
        <v>42.214000000000013</v>
      </c>
      <c r="AB95">
        <v>581.57399999999996</v>
      </c>
      <c r="AC95">
        <v>2.3490000000000002</v>
      </c>
      <c r="AD95">
        <v>77.617455464799704</v>
      </c>
      <c r="AE95">
        <v>637.70959182771264</v>
      </c>
      <c r="AF95">
        <v>3.5608248587570621</v>
      </c>
      <c r="AG95">
        <v>1.87472057277036</v>
      </c>
      <c r="AH95">
        <v>0.92446386766367694</v>
      </c>
      <c r="AI95">
        <v>1.87472057277036</v>
      </c>
      <c r="AJ95">
        <v>0.92446386766367694</v>
      </c>
    </row>
    <row r="96" spans="1:36" x14ac:dyDescent="0.35">
      <c r="A96" t="s">
        <v>39</v>
      </c>
      <c r="B96">
        <v>509686</v>
      </c>
      <c r="C96" t="s">
        <v>72</v>
      </c>
      <c r="D96" t="s">
        <v>1088</v>
      </c>
      <c r="E96" t="s">
        <v>568</v>
      </c>
      <c r="F96">
        <v>117.8</v>
      </c>
      <c r="G96">
        <v>505.88000000000011</v>
      </c>
      <c r="H96">
        <v>2.09</v>
      </c>
      <c r="I96">
        <v>37.409999999999997</v>
      </c>
      <c r="J96">
        <v>305.45</v>
      </c>
      <c r="K96">
        <v>0.86</v>
      </c>
      <c r="L96">
        <v>2.1488906709435991</v>
      </c>
      <c r="M96">
        <v>0.65617940743165848</v>
      </c>
      <c r="N96">
        <v>1.430232558139535</v>
      </c>
      <c r="O96">
        <v>30</v>
      </c>
      <c r="P96">
        <v>128.83000000000001</v>
      </c>
      <c r="Q96">
        <v>0.53</v>
      </c>
      <c r="R96">
        <v>30</v>
      </c>
      <c r="S96">
        <v>128.83000000000001</v>
      </c>
      <c r="T96">
        <v>0.53</v>
      </c>
      <c r="U96">
        <v>370.93932103715588</v>
      </c>
      <c r="V96">
        <v>837.82803863152753</v>
      </c>
      <c r="W96">
        <v>5.0791860465116274</v>
      </c>
      <c r="X96">
        <v>30</v>
      </c>
      <c r="Y96">
        <v>128.83000000000001</v>
      </c>
      <c r="Z96">
        <v>0.53</v>
      </c>
      <c r="AA96">
        <v>93.683000000000007</v>
      </c>
      <c r="AB96">
        <v>445.75099999999998</v>
      </c>
      <c r="AC96">
        <v>1.7210000000000001</v>
      </c>
      <c r="AD96">
        <v>164.87410701238531</v>
      </c>
      <c r="AE96">
        <v>470.80301287717589</v>
      </c>
      <c r="AF96">
        <v>2.4433953488372091</v>
      </c>
      <c r="AG96">
        <v>4.49580356707951</v>
      </c>
      <c r="AH96">
        <v>2.654451702842318</v>
      </c>
      <c r="AI96">
        <v>4.49580356707951</v>
      </c>
      <c r="AJ96">
        <v>2.654451702842318</v>
      </c>
    </row>
    <row r="97" spans="1:36" x14ac:dyDescent="0.35">
      <c r="A97" t="s">
        <v>39</v>
      </c>
      <c r="B97">
        <v>509687</v>
      </c>
      <c r="C97" t="s">
        <v>72</v>
      </c>
      <c r="D97" t="s">
        <v>1101</v>
      </c>
      <c r="E97" t="s">
        <v>568</v>
      </c>
      <c r="F97">
        <v>27.67</v>
      </c>
      <c r="G97">
        <v>396.13</v>
      </c>
      <c r="H97">
        <v>1.64</v>
      </c>
      <c r="I97">
        <v>8.56</v>
      </c>
      <c r="J97">
        <v>233.11</v>
      </c>
      <c r="K97">
        <v>0.65</v>
      </c>
      <c r="L97">
        <v>2.2324766355140189</v>
      </c>
      <c r="M97">
        <v>0.69932649821972448</v>
      </c>
      <c r="N97">
        <v>1.523076923076923</v>
      </c>
      <c r="O97">
        <v>12</v>
      </c>
      <c r="P97">
        <v>171.78</v>
      </c>
      <c r="Q97">
        <v>0.71</v>
      </c>
      <c r="R97">
        <v>12</v>
      </c>
      <c r="S97">
        <v>171.78</v>
      </c>
      <c r="T97">
        <v>0.71</v>
      </c>
      <c r="U97">
        <v>89.442628504672911</v>
      </c>
      <c r="V97">
        <v>673.1542057397794</v>
      </c>
      <c r="W97">
        <v>4.1378461538461533</v>
      </c>
      <c r="X97">
        <v>12</v>
      </c>
      <c r="Y97">
        <v>171.78</v>
      </c>
      <c r="Z97">
        <v>0.71</v>
      </c>
      <c r="AA97">
        <v>21.937000000000001</v>
      </c>
      <c r="AB97">
        <v>347.22399999999999</v>
      </c>
      <c r="AC97">
        <v>1.343</v>
      </c>
      <c r="AD97">
        <v>41.126542834890969</v>
      </c>
      <c r="AE97">
        <v>397.38606857992642</v>
      </c>
      <c r="AF97">
        <v>2.063615384615384</v>
      </c>
      <c r="AG97">
        <v>2.4272119029075809</v>
      </c>
      <c r="AH97">
        <v>1.3133430468036229</v>
      </c>
      <c r="AI97">
        <v>2.4272119029075809</v>
      </c>
      <c r="AJ97">
        <v>1.3133430468036229</v>
      </c>
    </row>
    <row r="98" spans="1:36" x14ac:dyDescent="0.35">
      <c r="A98" t="s">
        <v>39</v>
      </c>
      <c r="B98">
        <v>898345</v>
      </c>
      <c r="C98" t="s">
        <v>72</v>
      </c>
      <c r="D98" t="s">
        <v>1111</v>
      </c>
      <c r="E98" t="s">
        <v>568</v>
      </c>
      <c r="F98">
        <v>0</v>
      </c>
      <c r="G98">
        <v>0</v>
      </c>
      <c r="H98">
        <v>0</v>
      </c>
      <c r="I98">
        <v>-12.77</v>
      </c>
      <c r="J98">
        <v>-50.69</v>
      </c>
      <c r="K98">
        <v>-0.47</v>
      </c>
      <c r="L98">
        <v>-1</v>
      </c>
      <c r="M98">
        <v>-1</v>
      </c>
      <c r="N98">
        <v>-1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-3.831</v>
      </c>
      <c r="AB98">
        <v>-15.207000000000001</v>
      </c>
      <c r="AC98">
        <v>-0.14099999999999999</v>
      </c>
      <c r="AD98">
        <v>-1.2769999999999999</v>
      </c>
      <c r="AE98">
        <v>-5.069</v>
      </c>
      <c r="AF98">
        <v>-4.6999999999999993E-2</v>
      </c>
    </row>
    <row r="99" spans="1:36" x14ac:dyDescent="0.35">
      <c r="A99" t="s">
        <v>39</v>
      </c>
      <c r="B99">
        <v>899622</v>
      </c>
      <c r="C99" t="s">
        <v>72</v>
      </c>
      <c r="D99" t="s">
        <v>1116</v>
      </c>
      <c r="E99" t="s">
        <v>568</v>
      </c>
      <c r="F99">
        <v>0</v>
      </c>
      <c r="G99">
        <v>0</v>
      </c>
      <c r="H99">
        <v>0</v>
      </c>
      <c r="I99">
        <v>-20.27</v>
      </c>
      <c r="J99">
        <v>-28.19</v>
      </c>
      <c r="K99">
        <v>-0.23</v>
      </c>
      <c r="L99">
        <v>-1</v>
      </c>
      <c r="M99">
        <v>-1</v>
      </c>
      <c r="N99">
        <v>-1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-6.0810000000000004</v>
      </c>
      <c r="AB99">
        <v>-8.4570000000000007</v>
      </c>
      <c r="AC99">
        <v>-6.9000000000000006E-2</v>
      </c>
      <c r="AD99">
        <v>-2.0270000000000001</v>
      </c>
      <c r="AE99">
        <v>-2.819</v>
      </c>
      <c r="AF99">
        <v>-2.3E-2</v>
      </c>
    </row>
    <row r="100" spans="1:36" x14ac:dyDescent="0.35">
      <c r="A100" t="s">
        <v>39</v>
      </c>
      <c r="B100">
        <v>899623</v>
      </c>
      <c r="C100" t="s">
        <v>72</v>
      </c>
      <c r="D100" t="s">
        <v>1121</v>
      </c>
      <c r="E100" t="s">
        <v>568</v>
      </c>
      <c r="F100">
        <v>0</v>
      </c>
      <c r="G100">
        <v>0</v>
      </c>
      <c r="H100">
        <v>0</v>
      </c>
      <c r="I100">
        <v>-19.46</v>
      </c>
      <c r="J100">
        <v>-28.88</v>
      </c>
      <c r="K100">
        <v>-0.23</v>
      </c>
      <c r="L100">
        <v>-1</v>
      </c>
      <c r="M100">
        <v>-1</v>
      </c>
      <c r="N100">
        <v>-1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-5.8380000000000001</v>
      </c>
      <c r="AB100">
        <v>-8.6639999999999997</v>
      </c>
      <c r="AC100">
        <v>-6.9000000000000006E-2</v>
      </c>
      <c r="AD100">
        <v>-1.946</v>
      </c>
      <c r="AE100">
        <v>-2.8879999999999999</v>
      </c>
      <c r="AF100">
        <v>-2.3E-2</v>
      </c>
    </row>
    <row r="101" spans="1:36" x14ac:dyDescent="0.35">
      <c r="A101" t="s">
        <v>39</v>
      </c>
      <c r="B101">
        <v>899624</v>
      </c>
      <c r="C101" t="s">
        <v>72</v>
      </c>
      <c r="D101" t="s">
        <v>1125</v>
      </c>
      <c r="E101" t="s">
        <v>568</v>
      </c>
      <c r="F101">
        <v>0</v>
      </c>
      <c r="G101">
        <v>0</v>
      </c>
      <c r="H101">
        <v>0</v>
      </c>
      <c r="I101">
        <v>-2.73</v>
      </c>
      <c r="J101">
        <v>-7.02</v>
      </c>
      <c r="K101">
        <v>-0.06</v>
      </c>
      <c r="L101">
        <v>-1</v>
      </c>
      <c r="M101">
        <v>-1</v>
      </c>
      <c r="N101">
        <v>-1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-0.81899999999999995</v>
      </c>
      <c r="AB101">
        <v>-2.1059999999999999</v>
      </c>
      <c r="AC101">
        <v>-1.7999999999999999E-2</v>
      </c>
      <c r="AD101">
        <v>-0.27300000000000002</v>
      </c>
      <c r="AE101">
        <v>-0.70199999999999996</v>
      </c>
      <c r="AF101">
        <v>-5.9999999999999993E-3</v>
      </c>
    </row>
    <row r="102" spans="1:36" x14ac:dyDescent="0.35">
      <c r="A102" t="s">
        <v>39</v>
      </c>
      <c r="B102">
        <v>546572</v>
      </c>
      <c r="C102" t="s">
        <v>72</v>
      </c>
      <c r="D102" t="s">
        <v>1130</v>
      </c>
      <c r="E102" t="s">
        <v>568</v>
      </c>
      <c r="F102">
        <v>143.78</v>
      </c>
      <c r="G102">
        <v>629.62</v>
      </c>
      <c r="H102">
        <v>3.4499999999999988</v>
      </c>
      <c r="I102">
        <v>37.36</v>
      </c>
      <c r="J102">
        <v>410.51</v>
      </c>
      <c r="K102">
        <v>1.1499999999999999</v>
      </c>
      <c r="L102">
        <v>2.8485010706638119</v>
      </c>
      <c r="M102">
        <v>0.53375070034834726</v>
      </c>
      <c r="N102">
        <v>2</v>
      </c>
      <c r="O102">
        <v>40</v>
      </c>
      <c r="P102">
        <v>175.16</v>
      </c>
      <c r="Q102">
        <v>0.96</v>
      </c>
      <c r="R102">
        <v>40</v>
      </c>
      <c r="S102">
        <v>175.16</v>
      </c>
      <c r="T102">
        <v>0.96</v>
      </c>
      <c r="U102">
        <v>553.33748394004283</v>
      </c>
      <c r="V102">
        <v>965.68011595332644</v>
      </c>
      <c r="W102">
        <v>10.35</v>
      </c>
      <c r="X102">
        <v>40</v>
      </c>
      <c r="Y102">
        <v>175.16</v>
      </c>
      <c r="Z102">
        <v>0.96</v>
      </c>
      <c r="AA102">
        <v>111.854</v>
      </c>
      <c r="AB102">
        <v>563.88699999999994</v>
      </c>
      <c r="AC102">
        <v>2.7599999999999989</v>
      </c>
      <c r="AD102">
        <v>235.06382798001431</v>
      </c>
      <c r="AE102">
        <v>568.24237198444212</v>
      </c>
      <c r="AF102">
        <v>4.6899999999999977</v>
      </c>
      <c r="AG102">
        <v>4.8765956995003572</v>
      </c>
      <c r="AH102">
        <v>2.244133203839016</v>
      </c>
      <c r="AI102">
        <v>4.8765956995003572</v>
      </c>
      <c r="AJ102">
        <v>2.244133203839016</v>
      </c>
    </row>
    <row r="103" spans="1:36" x14ac:dyDescent="0.35">
      <c r="A103" t="s">
        <v>39</v>
      </c>
      <c r="B103">
        <v>546579</v>
      </c>
      <c r="C103" t="s">
        <v>72</v>
      </c>
      <c r="D103" t="s">
        <v>1143</v>
      </c>
      <c r="E103" t="s">
        <v>568</v>
      </c>
      <c r="F103">
        <v>72.72</v>
      </c>
      <c r="G103">
        <v>372.79</v>
      </c>
      <c r="H103">
        <v>1.89</v>
      </c>
      <c r="I103">
        <v>23.2</v>
      </c>
      <c r="J103">
        <v>276.94</v>
      </c>
      <c r="K103">
        <v>0.78</v>
      </c>
      <c r="L103">
        <v>2.13448275862069</v>
      </c>
      <c r="M103">
        <v>0.34610384920921478</v>
      </c>
      <c r="N103">
        <v>1.4230769230769229</v>
      </c>
      <c r="O103">
        <v>25</v>
      </c>
      <c r="P103">
        <v>128.15</v>
      </c>
      <c r="Q103">
        <v>0.65</v>
      </c>
      <c r="R103">
        <v>30</v>
      </c>
      <c r="S103">
        <v>153.78</v>
      </c>
      <c r="T103">
        <v>0.78</v>
      </c>
      <c r="U103">
        <v>227.93958620689651</v>
      </c>
      <c r="V103">
        <v>501.81405394670321</v>
      </c>
      <c r="W103">
        <v>4.5796153846153853</v>
      </c>
      <c r="X103">
        <v>25</v>
      </c>
      <c r="Y103">
        <v>128.15</v>
      </c>
      <c r="Z103">
        <v>0.65</v>
      </c>
      <c r="AA103">
        <v>57.863999999999997</v>
      </c>
      <c r="AB103">
        <v>344.03500000000003</v>
      </c>
      <c r="AC103">
        <v>1.5569999999999999</v>
      </c>
      <c r="AD103">
        <v>103.6011954022988</v>
      </c>
      <c r="AE103">
        <v>324.66635131556768</v>
      </c>
      <c r="AF103">
        <v>2.262205128205129</v>
      </c>
      <c r="AG103">
        <v>3.1440478160919541</v>
      </c>
      <c r="AH103">
        <v>1.533486939645476</v>
      </c>
      <c r="AI103">
        <v>2.4533731800766279</v>
      </c>
      <c r="AJ103">
        <v>1.1112391163712301</v>
      </c>
    </row>
    <row r="104" spans="1:36" x14ac:dyDescent="0.35">
      <c r="A104" t="s">
        <v>39</v>
      </c>
      <c r="B104">
        <v>782841</v>
      </c>
      <c r="C104" t="s">
        <v>72</v>
      </c>
      <c r="D104" t="s">
        <v>1153</v>
      </c>
      <c r="E104" t="s">
        <v>281</v>
      </c>
      <c r="F104">
        <v>594.80999999999995</v>
      </c>
      <c r="G104">
        <v>366.45</v>
      </c>
      <c r="H104">
        <v>13.07</v>
      </c>
      <c r="I104">
        <v>208.02</v>
      </c>
      <c r="J104">
        <v>128.61000000000001</v>
      </c>
      <c r="K104">
        <v>4.0999999999999996</v>
      </c>
      <c r="L104">
        <v>1.859388520334583</v>
      </c>
      <c r="M104">
        <v>1.8493118731047351</v>
      </c>
      <c r="N104">
        <v>2.1878048780487802</v>
      </c>
      <c r="O104">
        <v>200</v>
      </c>
      <c r="P104">
        <v>123.22</v>
      </c>
      <c r="Q104">
        <v>4.4000000000000004</v>
      </c>
      <c r="R104">
        <v>200</v>
      </c>
      <c r="S104">
        <v>123.22</v>
      </c>
      <c r="T104">
        <v>4.4000000000000004</v>
      </c>
      <c r="U104">
        <v>1700.7928857802131</v>
      </c>
      <c r="V104">
        <v>1044.13033589923</v>
      </c>
      <c r="W104">
        <v>41.664609756097548</v>
      </c>
      <c r="X104">
        <v>200</v>
      </c>
      <c r="Y104">
        <v>123.22</v>
      </c>
      <c r="Z104">
        <v>4.4000000000000004</v>
      </c>
      <c r="AA104">
        <v>478.77300000000002</v>
      </c>
      <c r="AB104">
        <v>295.09800000000013</v>
      </c>
      <c r="AC104">
        <v>10.379</v>
      </c>
      <c r="AD104">
        <v>793.18862859340436</v>
      </c>
      <c r="AE104">
        <v>487.48277863307692</v>
      </c>
      <c r="AF104">
        <v>18.81453658536585</v>
      </c>
      <c r="AG104">
        <v>2.965943142967022</v>
      </c>
      <c r="AH104">
        <v>2.9561984956425649</v>
      </c>
      <c r="AI104">
        <v>2.965943142967022</v>
      </c>
      <c r="AJ104">
        <v>2.9561984956425649</v>
      </c>
    </row>
    <row r="105" spans="1:36" x14ac:dyDescent="0.35">
      <c r="A105" t="s">
        <v>39</v>
      </c>
      <c r="B105">
        <v>786238</v>
      </c>
      <c r="C105" t="s">
        <v>72</v>
      </c>
      <c r="D105" t="s">
        <v>1172</v>
      </c>
      <c r="E105" t="s">
        <v>1173</v>
      </c>
      <c r="F105">
        <v>0</v>
      </c>
      <c r="G105">
        <v>0</v>
      </c>
      <c r="H105">
        <v>0</v>
      </c>
      <c r="I105">
        <v>638.79</v>
      </c>
      <c r="J105">
        <v>230.18</v>
      </c>
      <c r="K105">
        <v>7.49</v>
      </c>
      <c r="L105">
        <v>-1</v>
      </c>
      <c r="M105">
        <v>-1</v>
      </c>
      <c r="N105">
        <v>-1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191.637</v>
      </c>
      <c r="AB105">
        <v>69.054000000000002</v>
      </c>
      <c r="AC105">
        <v>2.2469999999999999</v>
      </c>
      <c r="AD105">
        <v>63.878999999999991</v>
      </c>
      <c r="AE105">
        <v>23.018000000000001</v>
      </c>
      <c r="AF105">
        <v>0.749</v>
      </c>
    </row>
    <row r="106" spans="1:36" x14ac:dyDescent="0.35">
      <c r="A106" t="s">
        <v>39</v>
      </c>
      <c r="B106">
        <v>825955</v>
      </c>
      <c r="C106" t="s">
        <v>72</v>
      </c>
      <c r="D106" t="s">
        <v>1182</v>
      </c>
      <c r="E106" t="s">
        <v>752</v>
      </c>
      <c r="G106">
        <v>1664.78</v>
      </c>
      <c r="H106">
        <v>28.87</v>
      </c>
      <c r="J106">
        <v>711.93</v>
      </c>
      <c r="K106">
        <v>12.56</v>
      </c>
      <c r="M106">
        <v>1.338404056578596</v>
      </c>
      <c r="N106">
        <v>1.2985668789808911</v>
      </c>
      <c r="P106">
        <v>534.44000000000005</v>
      </c>
      <c r="Q106">
        <v>9.27</v>
      </c>
      <c r="S106">
        <v>534.44000000000005</v>
      </c>
      <c r="T106">
        <v>9.27</v>
      </c>
      <c r="V106">
        <v>3892.9283053109152</v>
      </c>
      <c r="W106">
        <v>66.359625796178321</v>
      </c>
      <c r="Y106">
        <v>534.44000000000005</v>
      </c>
      <c r="Z106">
        <v>9.27</v>
      </c>
      <c r="AB106">
        <v>1378.925</v>
      </c>
      <c r="AC106">
        <v>23.977</v>
      </c>
      <c r="AE106">
        <v>1935.4311017703051</v>
      </c>
      <c r="AF106">
        <v>33.202208598726109</v>
      </c>
      <c r="AH106">
        <v>2.6214188716606248</v>
      </c>
      <c r="AJ106">
        <v>2.6214188716606248</v>
      </c>
    </row>
    <row r="107" spans="1:36" x14ac:dyDescent="0.35">
      <c r="A107" t="s">
        <v>39</v>
      </c>
      <c r="B107">
        <v>825956</v>
      </c>
      <c r="C107" t="s">
        <v>72</v>
      </c>
      <c r="D107" t="s">
        <v>1195</v>
      </c>
      <c r="E107" t="s">
        <v>752</v>
      </c>
      <c r="F107">
        <v>1022.11</v>
      </c>
      <c r="G107">
        <v>184.13</v>
      </c>
      <c r="H107">
        <v>4.4000000000000004</v>
      </c>
      <c r="I107">
        <v>288.05</v>
      </c>
      <c r="J107">
        <v>65.22</v>
      </c>
      <c r="K107">
        <v>1.59</v>
      </c>
      <c r="L107">
        <v>2.548377017878841</v>
      </c>
      <c r="M107">
        <v>1.823213738117142</v>
      </c>
      <c r="N107">
        <v>1.767295597484277</v>
      </c>
      <c r="O107">
        <v>334.43</v>
      </c>
      <c r="P107">
        <v>60.25</v>
      </c>
      <c r="Q107">
        <v>1.44</v>
      </c>
      <c r="R107">
        <v>278.77999999999997</v>
      </c>
      <c r="S107">
        <v>50.22</v>
      </c>
      <c r="T107">
        <v>1.2</v>
      </c>
      <c r="U107">
        <v>3626.831633744142</v>
      </c>
      <c r="V107">
        <v>519.83834559950935</v>
      </c>
      <c r="W107">
        <v>12.17610062893082</v>
      </c>
      <c r="X107">
        <v>334.43</v>
      </c>
      <c r="Y107">
        <v>60.25</v>
      </c>
      <c r="Z107">
        <v>1.44</v>
      </c>
      <c r="AA107">
        <v>801.89199999999994</v>
      </c>
      <c r="AB107">
        <v>148.45699999999999</v>
      </c>
      <c r="AC107">
        <v>3.5569999999999999</v>
      </c>
      <c r="AD107">
        <v>1587.7178779147141</v>
      </c>
      <c r="AE107">
        <v>242.8484485331698</v>
      </c>
      <c r="AF107">
        <v>5.7243668763102731</v>
      </c>
      <c r="AG107">
        <v>3.7475342460745549</v>
      </c>
      <c r="AH107">
        <v>3.0306796437040631</v>
      </c>
      <c r="AI107">
        <v>4.695235949188298</v>
      </c>
      <c r="AJ107">
        <v>3.8356919261881681</v>
      </c>
    </row>
    <row r="108" spans="1:36" x14ac:dyDescent="0.35">
      <c r="A108" t="s">
        <v>39</v>
      </c>
      <c r="B108">
        <v>825958</v>
      </c>
      <c r="C108" t="s">
        <v>72</v>
      </c>
      <c r="D108" t="s">
        <v>1212</v>
      </c>
      <c r="E108" t="s">
        <v>752</v>
      </c>
      <c r="F108">
        <v>708.14</v>
      </c>
      <c r="G108">
        <v>125.92</v>
      </c>
      <c r="H108">
        <v>2.23</v>
      </c>
      <c r="I108">
        <v>334.14</v>
      </c>
      <c r="J108">
        <v>74.66</v>
      </c>
      <c r="K108">
        <v>1.35</v>
      </c>
      <c r="L108">
        <v>1.1192913150176571</v>
      </c>
      <c r="M108">
        <v>0.68657915885346932</v>
      </c>
      <c r="N108">
        <v>0.65185185185185213</v>
      </c>
      <c r="O108">
        <v>259</v>
      </c>
      <c r="P108">
        <v>46.06</v>
      </c>
      <c r="Q108">
        <v>0.81</v>
      </c>
      <c r="R108">
        <v>259</v>
      </c>
      <c r="S108">
        <v>46.06</v>
      </c>
      <c r="T108">
        <v>0.81</v>
      </c>
      <c r="U108">
        <v>1500.754951816604</v>
      </c>
      <c r="V108">
        <v>212.37404768282889</v>
      </c>
      <c r="W108">
        <v>3.6836296296296309</v>
      </c>
      <c r="X108">
        <v>259</v>
      </c>
      <c r="Y108">
        <v>46.06</v>
      </c>
      <c r="Z108">
        <v>0.81</v>
      </c>
      <c r="AA108">
        <v>595.93999999999994</v>
      </c>
      <c r="AB108">
        <v>110.542</v>
      </c>
      <c r="AC108">
        <v>1.966</v>
      </c>
      <c r="AD108">
        <v>785.23165060553458</v>
      </c>
      <c r="AE108">
        <v>122.99201589427631</v>
      </c>
      <c r="AF108">
        <v>2.1532098765432099</v>
      </c>
      <c r="AG108">
        <v>2.0317824347704039</v>
      </c>
      <c r="AH108">
        <v>1.6702565326590599</v>
      </c>
      <c r="AI108">
        <v>2.0317824347704039</v>
      </c>
      <c r="AJ108">
        <v>1.6702565326590599</v>
      </c>
    </row>
    <row r="109" spans="1:36" x14ac:dyDescent="0.35">
      <c r="A109" t="s">
        <v>39</v>
      </c>
      <c r="B109">
        <v>823534</v>
      </c>
      <c r="C109" t="s">
        <v>72</v>
      </c>
      <c r="D109" t="s">
        <v>1229</v>
      </c>
      <c r="E109" t="s">
        <v>116</v>
      </c>
      <c r="G109">
        <v>685.44</v>
      </c>
      <c r="H109">
        <v>23.7</v>
      </c>
      <c r="J109">
        <v>304</v>
      </c>
      <c r="K109">
        <v>9.7899999999999991</v>
      </c>
      <c r="M109">
        <v>1.2547368421052629</v>
      </c>
      <c r="N109">
        <v>1.420837589376915</v>
      </c>
      <c r="P109">
        <v>212.61</v>
      </c>
      <c r="Q109">
        <v>7.35</v>
      </c>
      <c r="S109">
        <v>205.15</v>
      </c>
      <c r="T109">
        <v>7.09</v>
      </c>
      <c r="V109">
        <v>1545.486821052632</v>
      </c>
      <c r="W109">
        <v>57.373850868232893</v>
      </c>
      <c r="Y109">
        <v>212.61</v>
      </c>
      <c r="Z109">
        <v>7.35</v>
      </c>
      <c r="AB109">
        <v>571.00800000000004</v>
      </c>
      <c r="AC109">
        <v>19.527000000000001</v>
      </c>
      <c r="AE109">
        <v>776.36827368421052</v>
      </c>
      <c r="AF109">
        <v>28.083616956077631</v>
      </c>
      <c r="AH109">
        <v>2.651607514624009</v>
      </c>
      <c r="AJ109">
        <v>2.7843932424285178</v>
      </c>
    </row>
    <row r="110" spans="1:36" x14ac:dyDescent="0.35">
      <c r="A110" t="s">
        <v>39</v>
      </c>
      <c r="B110">
        <v>823532</v>
      </c>
      <c r="C110" t="s">
        <v>72</v>
      </c>
      <c r="D110" t="s">
        <v>1249</v>
      </c>
      <c r="E110" t="s">
        <v>116</v>
      </c>
      <c r="F110">
        <v>156.4</v>
      </c>
      <c r="G110">
        <v>27.5</v>
      </c>
      <c r="H110">
        <v>0.96</v>
      </c>
      <c r="I110">
        <v>113.15</v>
      </c>
      <c r="J110">
        <v>20.76</v>
      </c>
      <c r="K110">
        <v>0.67</v>
      </c>
      <c r="L110">
        <v>0.38223596995139181</v>
      </c>
      <c r="M110">
        <v>0.32466281310211942</v>
      </c>
      <c r="N110">
        <v>0.43283582089552231</v>
      </c>
      <c r="O110">
        <v>80</v>
      </c>
      <c r="P110">
        <v>14.06</v>
      </c>
      <c r="Q110">
        <v>0.49</v>
      </c>
      <c r="R110">
        <v>80</v>
      </c>
      <c r="S110">
        <v>14.06</v>
      </c>
      <c r="T110">
        <v>0.49</v>
      </c>
      <c r="U110">
        <v>216.1817057003976</v>
      </c>
      <c r="V110">
        <v>36.428227360308277</v>
      </c>
      <c r="W110">
        <v>1.375522388059701</v>
      </c>
      <c r="X110">
        <v>80</v>
      </c>
      <c r="Y110">
        <v>14.06</v>
      </c>
      <c r="Z110">
        <v>0.49</v>
      </c>
      <c r="AA110">
        <v>143.42500000000001</v>
      </c>
      <c r="AB110">
        <v>25.478000000000002</v>
      </c>
      <c r="AC110">
        <v>0.873</v>
      </c>
      <c r="AD110">
        <v>146.53556856679921</v>
      </c>
      <c r="AE110">
        <v>25.322075786769432</v>
      </c>
      <c r="AF110">
        <v>0.91284079601990042</v>
      </c>
      <c r="AG110">
        <v>0.83169460708498977</v>
      </c>
      <c r="AH110">
        <v>0.80100112281432656</v>
      </c>
      <c r="AI110">
        <v>0.83169460708498977</v>
      </c>
      <c r="AJ110">
        <v>0.80100112281432656</v>
      </c>
    </row>
    <row r="111" spans="1:36" x14ac:dyDescent="0.35">
      <c r="A111" t="s">
        <v>39</v>
      </c>
      <c r="B111">
        <v>825019</v>
      </c>
      <c r="C111" t="s">
        <v>72</v>
      </c>
      <c r="D111" t="s">
        <v>1259</v>
      </c>
      <c r="E111" t="s">
        <v>1260</v>
      </c>
      <c r="F111">
        <v>155.03</v>
      </c>
      <c r="G111">
        <v>12.4</v>
      </c>
      <c r="H111">
        <v>0.43</v>
      </c>
      <c r="I111">
        <v>84.19</v>
      </c>
      <c r="J111">
        <v>8.17</v>
      </c>
      <c r="K111">
        <v>0.27</v>
      </c>
      <c r="L111">
        <v>0.84143009858653062</v>
      </c>
      <c r="M111">
        <v>0.51774785801713596</v>
      </c>
      <c r="N111">
        <v>0.59259259259259256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285.47690818386991</v>
      </c>
      <c r="V111">
        <v>18.820073439412489</v>
      </c>
      <c r="W111">
        <v>0.68481481481481488</v>
      </c>
      <c r="X111">
        <v>0</v>
      </c>
      <c r="Y111">
        <v>0</v>
      </c>
      <c r="Z111">
        <v>0</v>
      </c>
      <c r="AA111">
        <v>133.77799999999999</v>
      </c>
      <c r="AB111">
        <v>11.131</v>
      </c>
      <c r="AC111">
        <v>0.38200000000000001</v>
      </c>
      <c r="AD111">
        <v>139.7516360612899</v>
      </c>
      <c r="AE111">
        <v>9.9836911464708287</v>
      </c>
      <c r="AF111">
        <v>0.35560493827160489</v>
      </c>
    </row>
    <row r="112" spans="1:36" x14ac:dyDescent="0.35">
      <c r="A112" t="s">
        <v>39</v>
      </c>
      <c r="B112">
        <v>825474</v>
      </c>
      <c r="C112" t="s">
        <v>72</v>
      </c>
      <c r="D112" t="s">
        <v>1270</v>
      </c>
      <c r="E112" t="s">
        <v>1271</v>
      </c>
      <c r="F112">
        <v>2445.0300000000002</v>
      </c>
      <c r="G112">
        <v>435.8</v>
      </c>
      <c r="H112">
        <v>18.170000000000002</v>
      </c>
      <c r="J112">
        <v>268.70999999999998</v>
      </c>
      <c r="K112">
        <v>10.220000000000001</v>
      </c>
      <c r="M112">
        <v>0.62182278292583071</v>
      </c>
      <c r="N112">
        <v>0.77788649706457935</v>
      </c>
      <c r="P112">
        <v>190.12</v>
      </c>
      <c r="Q112">
        <v>7.93</v>
      </c>
      <c r="R112">
        <v>899.99</v>
      </c>
      <c r="S112">
        <v>160.41</v>
      </c>
      <c r="T112">
        <v>6.69</v>
      </c>
      <c r="V112">
        <v>706.79036879907699</v>
      </c>
      <c r="W112">
        <v>32.304197651663408</v>
      </c>
      <c r="Y112">
        <v>190.12</v>
      </c>
      <c r="Z112">
        <v>7.93</v>
      </c>
      <c r="AB112">
        <v>385.67299999999989</v>
      </c>
      <c r="AC112">
        <v>15.785</v>
      </c>
      <c r="AE112">
        <v>427.52778959969231</v>
      </c>
      <c r="AF112">
        <v>18.673065883887801</v>
      </c>
      <c r="AH112">
        <v>1.248726013042774</v>
      </c>
      <c r="AJ112">
        <v>1.66521906115387</v>
      </c>
    </row>
    <row r="113" spans="1:36" x14ac:dyDescent="0.35">
      <c r="A113" t="s">
        <v>39</v>
      </c>
      <c r="B113">
        <v>825020</v>
      </c>
      <c r="C113" t="s">
        <v>72</v>
      </c>
      <c r="D113" t="s">
        <v>1294</v>
      </c>
      <c r="E113" t="s">
        <v>1271</v>
      </c>
      <c r="F113">
        <v>1756.66</v>
      </c>
      <c r="G113">
        <v>299.62</v>
      </c>
      <c r="H113">
        <v>11.49</v>
      </c>
      <c r="I113">
        <v>838.6</v>
      </c>
      <c r="J113">
        <v>172.05</v>
      </c>
      <c r="K113">
        <v>6.16</v>
      </c>
      <c r="L113">
        <v>1.0947531600286191</v>
      </c>
      <c r="M113">
        <v>0.74147050276082527</v>
      </c>
      <c r="N113">
        <v>0.86525974025974017</v>
      </c>
      <c r="O113">
        <v>566.66</v>
      </c>
      <c r="P113">
        <v>96.65</v>
      </c>
      <c r="Q113">
        <v>3.7</v>
      </c>
      <c r="R113">
        <v>666.66</v>
      </c>
      <c r="S113">
        <v>113.71</v>
      </c>
      <c r="T113">
        <v>4.3600000000000003</v>
      </c>
      <c r="U113">
        <v>3679.7690860958742</v>
      </c>
      <c r="V113">
        <v>521.77939203719848</v>
      </c>
      <c r="W113">
        <v>21.431834415584419</v>
      </c>
      <c r="X113">
        <v>566.66</v>
      </c>
      <c r="Y113">
        <v>96.65</v>
      </c>
      <c r="Z113">
        <v>3.7</v>
      </c>
      <c r="AA113">
        <v>1481.242</v>
      </c>
      <c r="AB113">
        <v>261.34899999999999</v>
      </c>
      <c r="AC113">
        <v>9.8909999999999982</v>
      </c>
      <c r="AD113">
        <v>1909.223695365291</v>
      </c>
      <c r="AE113">
        <v>293.25946401239952</v>
      </c>
      <c r="AF113">
        <v>11.674278138528139</v>
      </c>
      <c r="AG113">
        <v>2.36925792426727</v>
      </c>
      <c r="AH113">
        <v>2.0342417383590221</v>
      </c>
      <c r="AI113">
        <v>1.8638641816897541</v>
      </c>
      <c r="AJ113">
        <v>1.579012083479022</v>
      </c>
    </row>
    <row r="114" spans="1:36" x14ac:dyDescent="0.35">
      <c r="A114" t="s">
        <v>39</v>
      </c>
      <c r="B114">
        <v>823536</v>
      </c>
      <c r="C114" t="s">
        <v>72</v>
      </c>
      <c r="D114" t="s">
        <v>1317</v>
      </c>
      <c r="E114" t="s">
        <v>1260</v>
      </c>
      <c r="F114">
        <v>0</v>
      </c>
      <c r="G114">
        <v>0</v>
      </c>
      <c r="H114">
        <v>0</v>
      </c>
      <c r="I114">
        <v>9.02</v>
      </c>
      <c r="J114">
        <v>2.52</v>
      </c>
      <c r="K114">
        <v>0.08</v>
      </c>
      <c r="L114">
        <v>-1</v>
      </c>
      <c r="M114">
        <v>-1</v>
      </c>
      <c r="N114">
        <v>-1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2.706</v>
      </c>
      <c r="AB114">
        <v>0.75600000000000001</v>
      </c>
      <c r="AC114">
        <v>2.4E-2</v>
      </c>
      <c r="AD114">
        <v>0.90200000000000002</v>
      </c>
      <c r="AE114">
        <v>0.252</v>
      </c>
      <c r="AF114">
        <v>8.0000000000000002E-3</v>
      </c>
    </row>
    <row r="115" spans="1:36" x14ac:dyDescent="0.35">
      <c r="A115" t="s">
        <v>39</v>
      </c>
      <c r="B115">
        <v>823535</v>
      </c>
      <c r="C115" t="s">
        <v>72</v>
      </c>
      <c r="D115" t="s">
        <v>1323</v>
      </c>
      <c r="E115" t="s">
        <v>1260</v>
      </c>
      <c r="F115">
        <v>552.1</v>
      </c>
      <c r="G115">
        <v>80.69</v>
      </c>
      <c r="H115">
        <v>2.82</v>
      </c>
      <c r="I115">
        <v>203.34</v>
      </c>
      <c r="J115">
        <v>36.159999999999997</v>
      </c>
      <c r="K115">
        <v>1.18</v>
      </c>
      <c r="L115">
        <v>1.7151568801022921</v>
      </c>
      <c r="M115">
        <v>1.2314712389380531</v>
      </c>
      <c r="N115">
        <v>1.389830508474577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1499.0381135044749</v>
      </c>
      <c r="V115">
        <v>180.0574142699115</v>
      </c>
      <c r="W115">
        <v>6.7393220338983069</v>
      </c>
      <c r="X115">
        <v>0</v>
      </c>
      <c r="Y115">
        <v>0</v>
      </c>
      <c r="Z115">
        <v>0</v>
      </c>
      <c r="AA115">
        <v>447.47199999999998</v>
      </c>
      <c r="AB115">
        <v>67.330999999999989</v>
      </c>
      <c r="AC115">
        <v>2.3279999999999998</v>
      </c>
      <c r="AD115">
        <v>648.83670450149179</v>
      </c>
      <c r="AE115">
        <v>82.462804756637169</v>
      </c>
      <c r="AF115">
        <v>3.0224406779661019</v>
      </c>
    </row>
    <row r="116" spans="1:36" x14ac:dyDescent="0.35">
      <c r="A116" t="s">
        <v>39</v>
      </c>
      <c r="B116">
        <v>823533</v>
      </c>
      <c r="C116" t="s">
        <v>72</v>
      </c>
      <c r="D116" t="s">
        <v>1337</v>
      </c>
      <c r="E116" t="s">
        <v>116</v>
      </c>
      <c r="F116">
        <v>438.1</v>
      </c>
      <c r="G116">
        <v>80.849999999999994</v>
      </c>
      <c r="H116">
        <v>2.83</v>
      </c>
      <c r="I116">
        <v>248.26</v>
      </c>
      <c r="J116">
        <v>48.07</v>
      </c>
      <c r="K116">
        <v>1.55</v>
      </c>
      <c r="L116">
        <v>0.76468218802867982</v>
      </c>
      <c r="M116">
        <v>0.68192219679633848</v>
      </c>
      <c r="N116">
        <v>0.82580645161290311</v>
      </c>
      <c r="O116">
        <v>180</v>
      </c>
      <c r="P116">
        <v>33.22</v>
      </c>
      <c r="Q116">
        <v>1.1599999999999999</v>
      </c>
      <c r="R116">
        <v>180</v>
      </c>
      <c r="S116">
        <v>33.22</v>
      </c>
      <c r="T116">
        <v>1.1599999999999999</v>
      </c>
      <c r="U116">
        <v>773.10726657536463</v>
      </c>
      <c r="V116">
        <v>135.98340961098401</v>
      </c>
      <c r="W116">
        <v>5.1670322580645163</v>
      </c>
      <c r="X116">
        <v>180</v>
      </c>
      <c r="Y116">
        <v>33.22</v>
      </c>
      <c r="Z116">
        <v>1.1599999999999999</v>
      </c>
      <c r="AA116">
        <v>381.14800000000002</v>
      </c>
      <c r="AB116">
        <v>71.015999999999991</v>
      </c>
      <c r="AC116">
        <v>2.4460000000000002</v>
      </c>
      <c r="AD116">
        <v>444.75175552512161</v>
      </c>
      <c r="AE116">
        <v>80.073136536994653</v>
      </c>
      <c r="AF116">
        <v>2.924344086021506</v>
      </c>
      <c r="AG116">
        <v>1.4708430862506749</v>
      </c>
      <c r="AH116">
        <v>1.41038942013831</v>
      </c>
      <c r="AI116">
        <v>1.4708430862506749</v>
      </c>
      <c r="AJ116">
        <v>1.41038942013831</v>
      </c>
    </row>
    <row r="117" spans="1:36" x14ac:dyDescent="0.35">
      <c r="A117" t="s">
        <v>39</v>
      </c>
      <c r="B117">
        <v>826728</v>
      </c>
      <c r="C117" t="s">
        <v>72</v>
      </c>
      <c r="D117" t="s">
        <v>1350</v>
      </c>
      <c r="E117" t="s">
        <v>1351</v>
      </c>
      <c r="F117">
        <v>605.16</v>
      </c>
      <c r="G117">
        <v>7.92</v>
      </c>
      <c r="H117">
        <v>7.5299999999999994</v>
      </c>
      <c r="I117">
        <v>228.48</v>
      </c>
      <c r="J117">
        <v>3.38</v>
      </c>
      <c r="K117">
        <v>3.13</v>
      </c>
      <c r="L117">
        <v>1.648634453781513</v>
      </c>
      <c r="M117">
        <v>1.3431952662721891</v>
      </c>
      <c r="N117">
        <v>1.405750798722045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1602.8476260504201</v>
      </c>
      <c r="V117">
        <v>18.558106508875738</v>
      </c>
      <c r="W117">
        <v>18.115303514377</v>
      </c>
      <c r="X117">
        <v>0</v>
      </c>
      <c r="Y117">
        <v>0</v>
      </c>
      <c r="Z117">
        <v>0</v>
      </c>
      <c r="AA117">
        <v>492.15599999999989</v>
      </c>
      <c r="AB117">
        <v>6.5579999999999998</v>
      </c>
      <c r="AC117">
        <v>6.2099999999999991</v>
      </c>
      <c r="AD117">
        <v>698.33454201680672</v>
      </c>
      <c r="AE117">
        <v>8.37203550295858</v>
      </c>
      <c r="AF117">
        <v>8.1084345047923332</v>
      </c>
    </row>
    <row r="118" spans="1:36" x14ac:dyDescent="0.35">
      <c r="A118" t="s">
        <v>39</v>
      </c>
      <c r="B118">
        <v>826727</v>
      </c>
      <c r="C118" t="s">
        <v>72</v>
      </c>
      <c r="D118" t="s">
        <v>1363</v>
      </c>
      <c r="E118" t="s">
        <v>1351</v>
      </c>
      <c r="F118">
        <v>0</v>
      </c>
      <c r="G118">
        <v>0</v>
      </c>
      <c r="H118">
        <v>0</v>
      </c>
      <c r="I118">
        <v>235.24</v>
      </c>
      <c r="J118">
        <v>2.84</v>
      </c>
      <c r="K118">
        <v>1.73</v>
      </c>
      <c r="L118">
        <v>-1</v>
      </c>
      <c r="M118">
        <v>-1</v>
      </c>
      <c r="N118">
        <v>-1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70.572000000000003</v>
      </c>
      <c r="AB118">
        <v>0.85199999999999998</v>
      </c>
      <c r="AC118">
        <v>0.51900000000000002</v>
      </c>
      <c r="AD118">
        <v>23.524000000000001</v>
      </c>
      <c r="AE118">
        <v>0.28399999999999997</v>
      </c>
      <c r="AF118">
        <v>0.17299999999999999</v>
      </c>
    </row>
    <row r="119" spans="1:36" x14ac:dyDescent="0.35">
      <c r="A119" t="s">
        <v>39</v>
      </c>
      <c r="B119">
        <v>826730</v>
      </c>
      <c r="C119" t="s">
        <v>72</v>
      </c>
      <c r="D119" t="s">
        <v>1370</v>
      </c>
      <c r="E119" t="s">
        <v>1351</v>
      </c>
      <c r="F119">
        <v>88.38</v>
      </c>
      <c r="G119">
        <v>1.53</v>
      </c>
      <c r="H119">
        <v>2.13</v>
      </c>
      <c r="I119">
        <v>99.42</v>
      </c>
      <c r="J119">
        <v>1.96</v>
      </c>
      <c r="K119">
        <v>2.64</v>
      </c>
      <c r="L119">
        <v>-0.1110440555220278</v>
      </c>
      <c r="M119">
        <v>-0.21938775510204081</v>
      </c>
      <c r="N119">
        <v>-0.1931818181818182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78.565926372963176</v>
      </c>
      <c r="V119">
        <v>1.194336734693878</v>
      </c>
      <c r="W119">
        <v>1.718522727272727</v>
      </c>
      <c r="X119">
        <v>0</v>
      </c>
      <c r="Y119">
        <v>0</v>
      </c>
      <c r="Z119">
        <v>0</v>
      </c>
      <c r="AA119">
        <v>91.691999999999993</v>
      </c>
      <c r="AB119">
        <v>1.659</v>
      </c>
      <c r="AC119">
        <v>2.2829999999999999</v>
      </c>
      <c r="AD119">
        <v>56.752642124321063</v>
      </c>
      <c r="AE119">
        <v>0.95111224489795909</v>
      </c>
      <c r="AF119">
        <v>1.3338409090909089</v>
      </c>
    </row>
    <row r="120" spans="1:36" x14ac:dyDescent="0.35">
      <c r="A120" t="s">
        <v>39</v>
      </c>
      <c r="B120">
        <v>826729</v>
      </c>
      <c r="C120" t="s">
        <v>72</v>
      </c>
      <c r="D120" t="s">
        <v>1378</v>
      </c>
      <c r="E120" t="s">
        <v>1351</v>
      </c>
      <c r="F120">
        <v>207.39</v>
      </c>
      <c r="G120">
        <v>3.21</v>
      </c>
      <c r="H120">
        <v>3.77</v>
      </c>
      <c r="I120">
        <v>97.7</v>
      </c>
      <c r="J120">
        <v>1.71</v>
      </c>
      <c r="K120">
        <v>1.96</v>
      </c>
      <c r="L120">
        <v>1.1227226202661209</v>
      </c>
      <c r="M120">
        <v>0.87719298245614041</v>
      </c>
      <c r="N120">
        <v>0.92346938775510234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440.23144421699072</v>
      </c>
      <c r="V120">
        <v>6.0257894736842106</v>
      </c>
      <c r="W120">
        <v>7.2514795918367367</v>
      </c>
      <c r="X120">
        <v>0</v>
      </c>
      <c r="Y120">
        <v>0</v>
      </c>
      <c r="Z120">
        <v>0</v>
      </c>
      <c r="AA120">
        <v>174.483</v>
      </c>
      <c r="AB120">
        <v>2.76</v>
      </c>
      <c r="AC120">
        <v>3.2269999999999999</v>
      </c>
      <c r="AD120">
        <v>204.90481473899689</v>
      </c>
      <c r="AE120">
        <v>2.92859649122807</v>
      </c>
      <c r="AF120">
        <v>3.4928265306122461</v>
      </c>
    </row>
    <row r="121" spans="1:36" x14ac:dyDescent="0.35">
      <c r="A121" t="s">
        <v>39</v>
      </c>
      <c r="B121">
        <v>828466</v>
      </c>
      <c r="C121" t="s">
        <v>72</v>
      </c>
      <c r="D121" t="s">
        <v>1389</v>
      </c>
      <c r="E121" t="s">
        <v>1390</v>
      </c>
      <c r="F121">
        <v>395</v>
      </c>
      <c r="G121">
        <v>200.13</v>
      </c>
      <c r="H121">
        <v>5.27</v>
      </c>
      <c r="I121">
        <v>880.6</v>
      </c>
      <c r="J121">
        <v>739.7</v>
      </c>
      <c r="K121">
        <v>11.74</v>
      </c>
      <c r="L121">
        <v>-0.55144219850102205</v>
      </c>
      <c r="M121">
        <v>-0.72944436933892121</v>
      </c>
      <c r="N121">
        <v>-0.55110732538330498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177.18033159209631</v>
      </c>
      <c r="V121">
        <v>54.146298364201698</v>
      </c>
      <c r="W121">
        <v>2.3656643952299832</v>
      </c>
      <c r="X121">
        <v>0</v>
      </c>
      <c r="Y121">
        <v>0</v>
      </c>
      <c r="Z121">
        <v>0</v>
      </c>
      <c r="AA121">
        <v>540.68000000000006</v>
      </c>
      <c r="AB121">
        <v>362.00099999999998</v>
      </c>
      <c r="AC121">
        <v>7.2109999999999994</v>
      </c>
      <c r="AD121">
        <v>239.2867771973655</v>
      </c>
      <c r="AE121">
        <v>138.71576612140049</v>
      </c>
      <c r="AF121">
        <v>3.1922214650766612</v>
      </c>
    </row>
    <row r="122" spans="1:36" x14ac:dyDescent="0.35">
      <c r="A122" t="s">
        <v>39</v>
      </c>
      <c r="B122">
        <v>828467</v>
      </c>
      <c r="C122" t="s">
        <v>72</v>
      </c>
      <c r="D122" t="s">
        <v>1402</v>
      </c>
      <c r="E122" t="s">
        <v>1390</v>
      </c>
      <c r="F122">
        <v>842</v>
      </c>
      <c r="G122">
        <v>785.87</v>
      </c>
      <c r="H122">
        <v>16.84</v>
      </c>
      <c r="I122">
        <v>392.2</v>
      </c>
      <c r="J122">
        <v>504.63</v>
      </c>
      <c r="K122">
        <v>7.84</v>
      </c>
      <c r="L122">
        <v>1.146863844977053</v>
      </c>
      <c r="M122">
        <v>0.55731922398589062</v>
      </c>
      <c r="N122">
        <v>1.1479591836734691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1807.6593574706781</v>
      </c>
      <c r="V122">
        <v>1223.8504585537919</v>
      </c>
      <c r="W122">
        <v>36.171632653061224</v>
      </c>
      <c r="X122">
        <v>0</v>
      </c>
      <c r="Y122">
        <v>0</v>
      </c>
      <c r="Z122">
        <v>0</v>
      </c>
      <c r="AA122">
        <v>707.06</v>
      </c>
      <c r="AB122">
        <v>701.49799999999993</v>
      </c>
      <c r="AC122">
        <v>14.14</v>
      </c>
      <c r="AD122">
        <v>838.23978582355937</v>
      </c>
      <c r="AE122">
        <v>641.78281951793053</v>
      </c>
      <c r="AF122">
        <v>16.770544217687071</v>
      </c>
    </row>
    <row r="123" spans="1:36" x14ac:dyDescent="0.35">
      <c r="A123" t="s">
        <v>39</v>
      </c>
      <c r="B123">
        <v>845983</v>
      </c>
      <c r="C123" t="s">
        <v>72</v>
      </c>
      <c r="D123" t="s">
        <v>1412</v>
      </c>
      <c r="E123" t="s">
        <v>1413</v>
      </c>
      <c r="F123">
        <v>353.29</v>
      </c>
      <c r="G123">
        <v>1036.31</v>
      </c>
      <c r="H123">
        <v>25.91</v>
      </c>
      <c r="I123">
        <v>137.93</v>
      </c>
      <c r="J123">
        <v>540.66999999999996</v>
      </c>
      <c r="K123">
        <v>9.1999999999999993</v>
      </c>
      <c r="L123">
        <v>1.5613717102878271</v>
      </c>
      <c r="M123">
        <v>0.91671444688996995</v>
      </c>
      <c r="N123">
        <v>1.816304347826087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904.90701152758618</v>
      </c>
      <c r="V123">
        <v>1986.3103484565449</v>
      </c>
      <c r="W123">
        <v>72.970445652173922</v>
      </c>
      <c r="X123">
        <v>0</v>
      </c>
      <c r="Y123">
        <v>0</v>
      </c>
      <c r="Z123">
        <v>0</v>
      </c>
      <c r="AA123">
        <v>288.68200000000002</v>
      </c>
      <c r="AB123">
        <v>887.61799999999994</v>
      </c>
      <c r="AC123">
        <v>20.896999999999998</v>
      </c>
      <c r="AD123">
        <v>397.86300384252871</v>
      </c>
      <c r="AE123">
        <v>957.97611615218159</v>
      </c>
      <c r="AF123">
        <v>31.28914855072464</v>
      </c>
    </row>
    <row r="124" spans="1:36" x14ac:dyDescent="0.35">
      <c r="A124" t="s">
        <v>39</v>
      </c>
      <c r="B124">
        <v>933330</v>
      </c>
      <c r="C124" t="s">
        <v>72</v>
      </c>
      <c r="D124" t="s">
        <v>1426</v>
      </c>
      <c r="E124" t="s">
        <v>1351</v>
      </c>
      <c r="F124">
        <v>366.84</v>
      </c>
      <c r="G124">
        <v>278.67</v>
      </c>
      <c r="H124">
        <v>9.9499999999999993</v>
      </c>
      <c r="I124">
        <v>68.52</v>
      </c>
      <c r="J124">
        <v>63.69</v>
      </c>
      <c r="K124">
        <v>2.06</v>
      </c>
      <c r="L124">
        <v>4.3537653239929952</v>
      </c>
      <c r="M124">
        <v>3.375412152614226</v>
      </c>
      <c r="N124">
        <v>3.8300970873786411</v>
      </c>
      <c r="O124">
        <v>135</v>
      </c>
      <c r="P124">
        <v>102.55</v>
      </c>
      <c r="Q124">
        <v>3.66</v>
      </c>
      <c r="R124">
        <v>120</v>
      </c>
      <c r="S124">
        <v>91.16</v>
      </c>
      <c r="T124">
        <v>3.26</v>
      </c>
      <c r="U124">
        <v>1963.97527145359</v>
      </c>
      <c r="V124">
        <v>1219.296104569007</v>
      </c>
      <c r="W124">
        <v>48.059466019417471</v>
      </c>
      <c r="X124">
        <v>135</v>
      </c>
      <c r="Y124">
        <v>102.55</v>
      </c>
      <c r="Z124">
        <v>3.66</v>
      </c>
      <c r="AA124">
        <v>277.34399999999999</v>
      </c>
      <c r="AB124">
        <v>214.17599999999999</v>
      </c>
      <c r="AC124">
        <v>7.5829999999999993</v>
      </c>
      <c r="AD124">
        <v>792.10642381786363</v>
      </c>
      <c r="AE124">
        <v>512.0073681896688</v>
      </c>
      <c r="AF124">
        <v>19.767488673139159</v>
      </c>
      <c r="AG124">
        <v>4.8674549912434344</v>
      </c>
      <c r="AH124">
        <v>3.992758344121587</v>
      </c>
      <c r="AI124">
        <v>5.6008868651488637</v>
      </c>
      <c r="AJ124">
        <v>4.6165792912425276</v>
      </c>
    </row>
    <row r="125" spans="1:36" x14ac:dyDescent="0.35">
      <c r="A125" t="s">
        <v>39</v>
      </c>
      <c r="B125">
        <v>846134</v>
      </c>
      <c r="C125" t="s">
        <v>72</v>
      </c>
      <c r="D125" t="s">
        <v>1442</v>
      </c>
      <c r="E125" t="s">
        <v>1413</v>
      </c>
      <c r="F125">
        <v>178.3</v>
      </c>
      <c r="G125">
        <v>209.2</v>
      </c>
      <c r="H125">
        <v>4.76</v>
      </c>
      <c r="I125">
        <v>0</v>
      </c>
      <c r="J125">
        <v>0</v>
      </c>
      <c r="K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X125">
        <v>0</v>
      </c>
      <c r="Y125">
        <v>0</v>
      </c>
      <c r="Z125">
        <v>0</v>
      </c>
      <c r="AA125">
        <v>124.81</v>
      </c>
      <c r="AB125">
        <v>146.44</v>
      </c>
      <c r="AC125">
        <v>3.3319999999999999</v>
      </c>
      <c r="AD125">
        <v>62.405000000000001</v>
      </c>
      <c r="AE125">
        <v>73.22</v>
      </c>
      <c r="AF125">
        <v>1.6659999999999999</v>
      </c>
    </row>
    <row r="126" spans="1:36" x14ac:dyDescent="0.35">
      <c r="A126" t="s">
        <v>39</v>
      </c>
      <c r="B126">
        <v>845981</v>
      </c>
      <c r="C126" t="s">
        <v>72</v>
      </c>
      <c r="D126" t="s">
        <v>1450</v>
      </c>
      <c r="E126" t="s">
        <v>1413</v>
      </c>
      <c r="F126">
        <v>35.340000000000003</v>
      </c>
      <c r="G126">
        <v>31.1</v>
      </c>
      <c r="H126">
        <v>0.71</v>
      </c>
      <c r="I126">
        <v>0</v>
      </c>
      <c r="J126">
        <v>0</v>
      </c>
      <c r="K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X126">
        <v>0</v>
      </c>
      <c r="Y126">
        <v>0</v>
      </c>
      <c r="Z126">
        <v>0</v>
      </c>
      <c r="AA126">
        <v>24.738</v>
      </c>
      <c r="AB126">
        <v>21.77</v>
      </c>
      <c r="AC126">
        <v>0.49699999999999989</v>
      </c>
      <c r="AD126">
        <v>12.369</v>
      </c>
      <c r="AE126">
        <v>10.885</v>
      </c>
      <c r="AF126">
        <v>0.2485</v>
      </c>
    </row>
    <row r="127" spans="1:36" x14ac:dyDescent="0.35">
      <c r="A127" t="s">
        <v>39</v>
      </c>
      <c r="B127">
        <v>845982</v>
      </c>
      <c r="C127" t="s">
        <v>72</v>
      </c>
      <c r="D127" t="s">
        <v>1455</v>
      </c>
      <c r="E127" t="s">
        <v>1413</v>
      </c>
      <c r="F127">
        <v>181.47</v>
      </c>
      <c r="G127">
        <v>445.2</v>
      </c>
      <c r="H127">
        <v>10.89</v>
      </c>
      <c r="I127">
        <v>0</v>
      </c>
      <c r="J127">
        <v>0</v>
      </c>
      <c r="K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X127">
        <v>0</v>
      </c>
      <c r="Y127">
        <v>0</v>
      </c>
      <c r="Z127">
        <v>0</v>
      </c>
      <c r="AA127">
        <v>127.029</v>
      </c>
      <c r="AB127">
        <v>311.64</v>
      </c>
      <c r="AC127">
        <v>7.6230000000000002</v>
      </c>
      <c r="AD127">
        <v>63.514499999999998</v>
      </c>
      <c r="AE127">
        <v>155.82</v>
      </c>
      <c r="AF127">
        <v>3.8115000000000001</v>
      </c>
    </row>
    <row r="128" spans="1:36" x14ac:dyDescent="0.35">
      <c r="A128" t="s">
        <v>39</v>
      </c>
      <c r="B128">
        <v>863045</v>
      </c>
      <c r="C128" t="s">
        <v>72</v>
      </c>
      <c r="D128" t="s">
        <v>1462</v>
      </c>
      <c r="E128" t="s">
        <v>1463</v>
      </c>
      <c r="F128">
        <v>48.89</v>
      </c>
      <c r="G128">
        <v>117.33</v>
      </c>
      <c r="H128">
        <v>2.93</v>
      </c>
      <c r="I128">
        <v>38.020000000000003</v>
      </c>
      <c r="J128">
        <v>120.15</v>
      </c>
      <c r="K128">
        <v>2.0299999999999998</v>
      </c>
      <c r="L128">
        <v>0.28590215675960012</v>
      </c>
      <c r="M128">
        <v>-2.3470661672908899E-2</v>
      </c>
      <c r="N128">
        <v>0.44334975369458118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62.867756443976837</v>
      </c>
      <c r="V128">
        <v>114.5761872659176</v>
      </c>
      <c r="W128">
        <v>4.2290147783251228</v>
      </c>
      <c r="X128">
        <v>0</v>
      </c>
      <c r="Y128">
        <v>0</v>
      </c>
      <c r="Z128">
        <v>0</v>
      </c>
      <c r="AA128">
        <v>45.628999999999998</v>
      </c>
      <c r="AB128">
        <v>118.176</v>
      </c>
      <c r="AC128">
        <v>2.66</v>
      </c>
      <c r="AD128">
        <v>36.165585481325607</v>
      </c>
      <c r="AE128">
        <v>77.584062421972533</v>
      </c>
      <c r="AF128">
        <v>2.2963382594417081</v>
      </c>
    </row>
    <row r="129" spans="1:36" x14ac:dyDescent="0.35">
      <c r="A129" t="s">
        <v>39</v>
      </c>
      <c r="B129">
        <v>863050</v>
      </c>
      <c r="C129" t="s">
        <v>72</v>
      </c>
      <c r="D129" t="s">
        <v>1471</v>
      </c>
      <c r="E129" t="s">
        <v>1463</v>
      </c>
      <c r="F129">
        <v>77.94</v>
      </c>
      <c r="G129">
        <v>136.13</v>
      </c>
      <c r="H129">
        <v>3.12</v>
      </c>
      <c r="I129">
        <v>50.19</v>
      </c>
      <c r="J129">
        <v>124.47</v>
      </c>
      <c r="K129">
        <v>2.0099999999999998</v>
      </c>
      <c r="L129">
        <v>0.55289898386132696</v>
      </c>
      <c r="M129">
        <v>9.3677191291074102E-2</v>
      </c>
      <c r="N129">
        <v>0.55223880597014952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121.0329468021518</v>
      </c>
      <c r="V129">
        <v>148.8822760504539</v>
      </c>
      <c r="W129">
        <v>4.842985074626867</v>
      </c>
      <c r="X129">
        <v>0</v>
      </c>
      <c r="Y129">
        <v>0</v>
      </c>
      <c r="Z129">
        <v>0</v>
      </c>
      <c r="AA129">
        <v>69.614999999999995</v>
      </c>
      <c r="AB129">
        <v>132.63200000000001</v>
      </c>
      <c r="AC129">
        <v>2.786999999999999</v>
      </c>
      <c r="AD129">
        <v>63.549315600717271</v>
      </c>
      <c r="AE129">
        <v>93.838092016817981</v>
      </c>
      <c r="AF129">
        <v>2.5433283582089552</v>
      </c>
    </row>
    <row r="130" spans="1:36" x14ac:dyDescent="0.35">
      <c r="A130" t="s">
        <v>39</v>
      </c>
      <c r="B130">
        <v>868570</v>
      </c>
      <c r="C130" t="s">
        <v>72</v>
      </c>
      <c r="D130" t="s">
        <v>1479</v>
      </c>
      <c r="E130" t="s">
        <v>215</v>
      </c>
      <c r="F130">
        <v>81.64</v>
      </c>
      <c r="G130">
        <v>181.81</v>
      </c>
      <c r="H130">
        <v>14.16</v>
      </c>
      <c r="I130">
        <v>0</v>
      </c>
      <c r="J130">
        <v>0</v>
      </c>
      <c r="K130">
        <v>0</v>
      </c>
      <c r="O130">
        <v>32.869999999999997</v>
      </c>
      <c r="P130">
        <v>73.180000000000007</v>
      </c>
      <c r="Q130">
        <v>5.7</v>
      </c>
      <c r="R130">
        <v>16.43</v>
      </c>
      <c r="S130">
        <v>36.590000000000003</v>
      </c>
      <c r="T130">
        <v>2.85</v>
      </c>
      <c r="X130">
        <v>32.869999999999997</v>
      </c>
      <c r="Y130">
        <v>73.180000000000007</v>
      </c>
      <c r="Z130">
        <v>5.7</v>
      </c>
      <c r="AA130">
        <v>57.148000000000003</v>
      </c>
      <c r="AB130">
        <v>127.267</v>
      </c>
      <c r="AC130">
        <v>9.911999999999999</v>
      </c>
      <c r="AD130">
        <v>45.009</v>
      </c>
      <c r="AE130">
        <v>100.2235</v>
      </c>
      <c r="AF130">
        <v>7.8059999999999992</v>
      </c>
      <c r="AG130">
        <v>0.36930331609370248</v>
      </c>
      <c r="AH130">
        <v>0.36954769062585391</v>
      </c>
      <c r="AI130">
        <v>1.7394400486914181</v>
      </c>
      <c r="AJ130">
        <v>1.739095381251708</v>
      </c>
    </row>
    <row r="131" spans="1:36" x14ac:dyDescent="0.35">
      <c r="A131" t="s">
        <v>39</v>
      </c>
      <c r="B131">
        <v>868830</v>
      </c>
      <c r="C131" t="s">
        <v>72</v>
      </c>
      <c r="D131" t="s">
        <v>1494</v>
      </c>
      <c r="E131" t="s">
        <v>215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</row>
    <row r="132" spans="1:36" x14ac:dyDescent="0.35">
      <c r="A132" t="s">
        <v>39</v>
      </c>
      <c r="B132">
        <v>868832</v>
      </c>
      <c r="C132" t="s">
        <v>72</v>
      </c>
      <c r="D132" t="s">
        <v>1496</v>
      </c>
      <c r="E132" t="s">
        <v>215</v>
      </c>
      <c r="F132">
        <v>367.58</v>
      </c>
      <c r="G132">
        <v>281.8</v>
      </c>
      <c r="H132">
        <v>29.4</v>
      </c>
      <c r="I132">
        <v>112.47</v>
      </c>
      <c r="J132">
        <v>107.97</v>
      </c>
      <c r="K132">
        <v>8.25</v>
      </c>
      <c r="L132">
        <v>2.268249310927358</v>
      </c>
      <c r="M132">
        <v>1.609984254885616</v>
      </c>
      <c r="N132">
        <v>2.563636363636363</v>
      </c>
      <c r="O132">
        <v>92.03</v>
      </c>
      <c r="P132">
        <v>70.55</v>
      </c>
      <c r="Q132">
        <v>7.36</v>
      </c>
      <c r="R132">
        <v>92.03</v>
      </c>
      <c r="S132">
        <v>70.55</v>
      </c>
      <c r="T132">
        <v>7.36</v>
      </c>
      <c r="U132">
        <v>1201.343081710678</v>
      </c>
      <c r="V132">
        <v>735.49356302676676</v>
      </c>
      <c r="W132">
        <v>104.7709090909091</v>
      </c>
      <c r="X132">
        <v>92.03</v>
      </c>
      <c r="Y132">
        <v>70.55</v>
      </c>
      <c r="Z132">
        <v>7.36</v>
      </c>
      <c r="AA132">
        <v>291.04700000000003</v>
      </c>
      <c r="AB132">
        <v>229.65100000000001</v>
      </c>
      <c r="AC132">
        <v>23.055</v>
      </c>
      <c r="AD132">
        <v>528.14002723689282</v>
      </c>
      <c r="AE132">
        <v>345.23152100892219</v>
      </c>
      <c r="AF132">
        <v>45.061969696969697</v>
      </c>
      <c r="AG132">
        <v>4.7387811282939563</v>
      </c>
      <c r="AH132">
        <v>3.89343048914135</v>
      </c>
      <c r="AI132">
        <v>4.7387811282939563</v>
      </c>
      <c r="AJ132">
        <v>3.89343048914135</v>
      </c>
    </row>
    <row r="133" spans="1:36" x14ac:dyDescent="0.35">
      <c r="A133" t="s">
        <v>39</v>
      </c>
      <c r="B133">
        <v>868833</v>
      </c>
      <c r="C133" t="s">
        <v>72</v>
      </c>
      <c r="D133" t="s">
        <v>1512</v>
      </c>
      <c r="E133" t="s">
        <v>215</v>
      </c>
      <c r="F133">
        <v>98.11</v>
      </c>
      <c r="G133">
        <v>105.3</v>
      </c>
      <c r="H133">
        <v>11.78</v>
      </c>
      <c r="I133">
        <v>31.74</v>
      </c>
      <c r="J133">
        <v>40.42</v>
      </c>
      <c r="K133">
        <v>3.39</v>
      </c>
      <c r="L133">
        <v>2.091052299936988</v>
      </c>
      <c r="M133">
        <v>1.6051459673429</v>
      </c>
      <c r="N133">
        <v>2.4749262536873151</v>
      </c>
      <c r="O133">
        <v>49.25</v>
      </c>
      <c r="P133">
        <v>52.86</v>
      </c>
      <c r="Q133">
        <v>5.91</v>
      </c>
      <c r="R133">
        <v>49.25</v>
      </c>
      <c r="S133">
        <v>52.86</v>
      </c>
      <c r="T133">
        <v>5.91</v>
      </c>
      <c r="U133">
        <v>303.26314114681787</v>
      </c>
      <c r="V133">
        <v>274.3218703612074</v>
      </c>
      <c r="W133">
        <v>40.934631268436569</v>
      </c>
      <c r="X133">
        <v>49.25</v>
      </c>
      <c r="Y133">
        <v>52.86</v>
      </c>
      <c r="Z133">
        <v>5.91</v>
      </c>
      <c r="AA133">
        <v>78.198999999999984</v>
      </c>
      <c r="AB133">
        <v>85.836000000000013</v>
      </c>
      <c r="AC133">
        <v>9.2629999999999981</v>
      </c>
      <c r="AD133">
        <v>143.57071371560599</v>
      </c>
      <c r="AE133">
        <v>137.67262345373581</v>
      </c>
      <c r="AF133">
        <v>18.70254375614552</v>
      </c>
      <c r="AG133">
        <v>1.9151413952407299</v>
      </c>
      <c r="AH133">
        <v>1.6044764179670039</v>
      </c>
      <c r="AI133">
        <v>1.9151413952407299</v>
      </c>
      <c r="AJ133">
        <v>1.6044764179670039</v>
      </c>
    </row>
    <row r="134" spans="1:36" x14ac:dyDescent="0.35">
      <c r="A134" t="s">
        <v>39</v>
      </c>
      <c r="B134">
        <v>868834</v>
      </c>
      <c r="C134" t="s">
        <v>72</v>
      </c>
      <c r="D134" t="s">
        <v>1525</v>
      </c>
      <c r="E134" t="s">
        <v>215</v>
      </c>
      <c r="F134">
        <v>24.48</v>
      </c>
      <c r="G134">
        <v>94.949999999999989</v>
      </c>
      <c r="H134">
        <v>14.04</v>
      </c>
      <c r="I134">
        <v>4</v>
      </c>
      <c r="J134">
        <v>16.309999999999999</v>
      </c>
      <c r="K134">
        <v>2.08</v>
      </c>
      <c r="L134">
        <v>5.12</v>
      </c>
      <c r="M134">
        <v>4.8215818516247699</v>
      </c>
      <c r="N134">
        <v>5.7499999999999991</v>
      </c>
      <c r="O134">
        <v>4.0999999999999996</v>
      </c>
      <c r="P134">
        <v>15.92</v>
      </c>
      <c r="Q134">
        <v>2.35</v>
      </c>
      <c r="R134">
        <v>4.0999999999999996</v>
      </c>
      <c r="S134">
        <v>15.92</v>
      </c>
      <c r="T134">
        <v>2.35</v>
      </c>
      <c r="U134">
        <v>149.8176</v>
      </c>
      <c r="V134">
        <v>552.75919681177186</v>
      </c>
      <c r="W134">
        <v>94.769999999999982</v>
      </c>
      <c r="X134">
        <v>4.0999999999999996</v>
      </c>
      <c r="Y134">
        <v>15.92</v>
      </c>
      <c r="Z134">
        <v>2.35</v>
      </c>
      <c r="AA134">
        <v>18.335999999999999</v>
      </c>
      <c r="AB134">
        <v>71.35799999999999</v>
      </c>
      <c r="AC134">
        <v>10.452</v>
      </c>
      <c r="AD134">
        <v>57.417866666666669</v>
      </c>
      <c r="AE134">
        <v>213.34573227059059</v>
      </c>
      <c r="AF134">
        <v>35.857333333333322</v>
      </c>
      <c r="AG134">
        <v>13.00435772357724</v>
      </c>
      <c r="AH134">
        <v>12.401113836092369</v>
      </c>
      <c r="AI134">
        <v>13.00435772357724</v>
      </c>
      <c r="AJ134">
        <v>12.401113836092369</v>
      </c>
    </row>
    <row r="135" spans="1:36" x14ac:dyDescent="0.35">
      <c r="A135" t="s">
        <v>39</v>
      </c>
      <c r="B135">
        <v>868848</v>
      </c>
      <c r="C135" t="s">
        <v>72</v>
      </c>
      <c r="D135" t="s">
        <v>1538</v>
      </c>
      <c r="E135" t="s">
        <v>245</v>
      </c>
      <c r="F135">
        <v>137.82</v>
      </c>
      <c r="G135">
        <v>197.54</v>
      </c>
      <c r="H135">
        <v>4.59</v>
      </c>
      <c r="I135">
        <v>36.15</v>
      </c>
      <c r="J135">
        <v>59.05</v>
      </c>
      <c r="K135">
        <v>1.21</v>
      </c>
      <c r="L135">
        <v>2.8124481327800841</v>
      </c>
      <c r="M135">
        <v>2.345300592718035</v>
      </c>
      <c r="N135">
        <v>2.7933884297520661</v>
      </c>
      <c r="O135">
        <v>43.49</v>
      </c>
      <c r="P135">
        <v>62.34</v>
      </c>
      <c r="Q135">
        <v>1.45</v>
      </c>
      <c r="R135">
        <v>29</v>
      </c>
      <c r="S135">
        <v>41.56</v>
      </c>
      <c r="T135">
        <v>0.97</v>
      </c>
      <c r="U135">
        <v>525.43160165975121</v>
      </c>
      <c r="V135">
        <v>660.83067908552073</v>
      </c>
      <c r="W135">
        <v>17.411652892561978</v>
      </c>
      <c r="X135">
        <v>43.49</v>
      </c>
      <c r="Y135">
        <v>62.34</v>
      </c>
      <c r="Z135">
        <v>1.45</v>
      </c>
      <c r="AA135">
        <v>107.319</v>
      </c>
      <c r="AB135">
        <v>155.99299999999999</v>
      </c>
      <c r="AC135">
        <v>3.5760000000000001</v>
      </c>
      <c r="AD135">
        <v>225.41353388658371</v>
      </c>
      <c r="AE135">
        <v>293.05455969517362</v>
      </c>
      <c r="AF135">
        <v>7.4792176308539942</v>
      </c>
      <c r="AG135">
        <v>4.1831118391948428</v>
      </c>
      <c r="AH135">
        <v>3.700907277753827</v>
      </c>
      <c r="AI135">
        <v>6.772880478847715</v>
      </c>
      <c r="AJ135">
        <v>6.05136091663074</v>
      </c>
    </row>
    <row r="136" spans="1:36" x14ac:dyDescent="0.35">
      <c r="A136" t="s">
        <v>39</v>
      </c>
      <c r="B136">
        <v>868853</v>
      </c>
      <c r="C136" t="s">
        <v>72</v>
      </c>
      <c r="D136" t="s">
        <v>1550</v>
      </c>
      <c r="E136" t="s">
        <v>245</v>
      </c>
      <c r="F136">
        <v>0</v>
      </c>
      <c r="G136">
        <v>0</v>
      </c>
      <c r="H136">
        <v>0</v>
      </c>
      <c r="I136">
        <v>179.08</v>
      </c>
      <c r="J136">
        <v>286.52999999999997</v>
      </c>
      <c r="K136">
        <v>5.97</v>
      </c>
      <c r="L136">
        <v>-1</v>
      </c>
      <c r="M136">
        <v>-1</v>
      </c>
      <c r="N136">
        <v>-1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53.723999999999997</v>
      </c>
      <c r="AB136">
        <v>85.958999999999989</v>
      </c>
      <c r="AC136">
        <v>1.7909999999999999</v>
      </c>
      <c r="AD136">
        <v>17.908000000000001</v>
      </c>
      <c r="AE136">
        <v>28.652999999999999</v>
      </c>
      <c r="AF136">
        <v>0.59699999999999998</v>
      </c>
    </row>
    <row r="137" spans="1:36" x14ac:dyDescent="0.35">
      <c r="A137" t="s">
        <v>39</v>
      </c>
      <c r="B137">
        <v>868869</v>
      </c>
      <c r="C137" t="s">
        <v>72</v>
      </c>
      <c r="D137" t="s">
        <v>1557</v>
      </c>
      <c r="E137" t="s">
        <v>1558</v>
      </c>
      <c r="F137">
        <v>2.97</v>
      </c>
      <c r="G137">
        <v>213.45</v>
      </c>
      <c r="H137">
        <v>5.1300000000000008</v>
      </c>
      <c r="I137">
        <v>0.91</v>
      </c>
      <c r="J137">
        <v>65.680000000000007</v>
      </c>
      <c r="K137">
        <v>1.44</v>
      </c>
      <c r="L137">
        <v>2.2637362637362641</v>
      </c>
      <c r="M137">
        <v>2.2498477466504259</v>
      </c>
      <c r="N137">
        <v>2.5625000000000009</v>
      </c>
      <c r="O137">
        <v>0.94</v>
      </c>
      <c r="P137">
        <v>67.22</v>
      </c>
      <c r="Q137">
        <v>1.61</v>
      </c>
      <c r="R137">
        <v>0.94</v>
      </c>
      <c r="S137">
        <v>67.22</v>
      </c>
      <c r="T137">
        <v>1.61</v>
      </c>
      <c r="U137">
        <v>9.6932967032967046</v>
      </c>
      <c r="V137">
        <v>693.68000152253342</v>
      </c>
      <c r="W137">
        <v>18.275625000000009</v>
      </c>
      <c r="X137">
        <v>0.94</v>
      </c>
      <c r="Y137">
        <v>67.22</v>
      </c>
      <c r="Z137">
        <v>1.61</v>
      </c>
      <c r="AA137">
        <v>2.3519999999999999</v>
      </c>
      <c r="AB137">
        <v>169.119</v>
      </c>
      <c r="AC137">
        <v>4.0230000000000006</v>
      </c>
      <c r="AD137">
        <v>4.3284322344322348</v>
      </c>
      <c r="AE137">
        <v>310.00633384084449</v>
      </c>
      <c r="AF137">
        <v>7.969541666666669</v>
      </c>
      <c r="AG137">
        <v>3.6047151430130162</v>
      </c>
      <c r="AH137">
        <v>3.6118169271175922</v>
      </c>
      <c r="AI137">
        <v>3.6047151430130162</v>
      </c>
      <c r="AJ137">
        <v>3.6118169271175922</v>
      </c>
    </row>
    <row r="138" spans="1:36" x14ac:dyDescent="0.35">
      <c r="A138" t="s">
        <v>39</v>
      </c>
      <c r="B138">
        <v>868871</v>
      </c>
      <c r="C138" t="s">
        <v>72</v>
      </c>
      <c r="D138" t="s">
        <v>1567</v>
      </c>
      <c r="E138" t="s">
        <v>1173</v>
      </c>
      <c r="F138">
        <v>33.119999999999997</v>
      </c>
      <c r="G138">
        <v>86.58</v>
      </c>
      <c r="H138">
        <v>3.75</v>
      </c>
      <c r="I138">
        <v>11.51</v>
      </c>
      <c r="J138">
        <v>37.15</v>
      </c>
      <c r="K138">
        <v>1.1499999999999999</v>
      </c>
      <c r="L138">
        <v>1.8774978279756731</v>
      </c>
      <c r="M138">
        <v>1.3305518169582771</v>
      </c>
      <c r="N138">
        <v>2.260869565217392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95.302728062554294</v>
      </c>
      <c r="V138">
        <v>201.77917631224761</v>
      </c>
      <c r="W138">
        <v>12.22826086956522</v>
      </c>
      <c r="X138">
        <v>0</v>
      </c>
      <c r="Y138">
        <v>0</v>
      </c>
      <c r="Z138">
        <v>0</v>
      </c>
      <c r="AA138">
        <v>26.637</v>
      </c>
      <c r="AB138">
        <v>71.750999999999991</v>
      </c>
      <c r="AC138">
        <v>2.97</v>
      </c>
      <c r="AD138">
        <v>40.646576020851427</v>
      </c>
      <c r="AE138">
        <v>91.176725437415882</v>
      </c>
      <c r="AF138">
        <v>5.0660869565217386</v>
      </c>
    </row>
    <row r="139" spans="1:36" x14ac:dyDescent="0.35">
      <c r="A139" t="s">
        <v>39</v>
      </c>
      <c r="B139">
        <v>868876</v>
      </c>
      <c r="C139" t="s">
        <v>72</v>
      </c>
      <c r="D139" t="s">
        <v>1575</v>
      </c>
      <c r="E139" t="s">
        <v>1576</v>
      </c>
      <c r="F139">
        <v>524.51</v>
      </c>
      <c r="G139">
        <v>510.52</v>
      </c>
      <c r="H139">
        <v>157.36000000000001</v>
      </c>
      <c r="I139">
        <v>165.4</v>
      </c>
      <c r="J139">
        <v>192.96</v>
      </c>
      <c r="K139">
        <v>45.21</v>
      </c>
      <c r="L139">
        <v>2.1711608222490928</v>
      </c>
      <c r="M139">
        <v>1.645729684908789</v>
      </c>
      <c r="N139">
        <v>2.4806458748064588</v>
      </c>
      <c r="O139">
        <v>137.85</v>
      </c>
      <c r="P139">
        <v>134.16999999999999</v>
      </c>
      <c r="Q139">
        <v>41.36</v>
      </c>
      <c r="R139">
        <v>137.85</v>
      </c>
      <c r="S139">
        <v>134.16999999999999</v>
      </c>
      <c r="T139">
        <v>41.36</v>
      </c>
      <c r="U139">
        <v>1663.305562877872</v>
      </c>
      <c r="V139">
        <v>1350.697918739635</v>
      </c>
      <c r="W139">
        <v>547.71443485954444</v>
      </c>
      <c r="X139">
        <v>137.85</v>
      </c>
      <c r="Y139">
        <v>134.16999999999999</v>
      </c>
      <c r="Z139">
        <v>41.36</v>
      </c>
      <c r="AA139">
        <v>416.77699999999999</v>
      </c>
      <c r="AB139">
        <v>415.25200000000001</v>
      </c>
      <c r="AC139">
        <v>123.715</v>
      </c>
      <c r="AD139">
        <v>739.31085429262384</v>
      </c>
      <c r="AE139">
        <v>633.3733062465451</v>
      </c>
      <c r="AF139">
        <v>237.59647828651481</v>
      </c>
      <c r="AG139">
        <v>4.363154546917837</v>
      </c>
      <c r="AH139">
        <v>3.7206775452526282</v>
      </c>
      <c r="AI139">
        <v>4.363154546917837</v>
      </c>
      <c r="AJ139">
        <v>3.7206775452526282</v>
      </c>
    </row>
    <row r="140" spans="1:36" x14ac:dyDescent="0.35">
      <c r="A140" t="s">
        <v>39</v>
      </c>
      <c r="B140">
        <v>868899</v>
      </c>
      <c r="C140" t="s">
        <v>72</v>
      </c>
      <c r="D140" t="s">
        <v>1591</v>
      </c>
      <c r="E140" t="s">
        <v>1592</v>
      </c>
      <c r="F140">
        <v>498.62</v>
      </c>
      <c r="G140">
        <v>368.99</v>
      </c>
      <c r="H140">
        <v>9.9700000000000006</v>
      </c>
      <c r="I140">
        <v>153.34</v>
      </c>
      <c r="J140">
        <v>134.94</v>
      </c>
      <c r="K140">
        <v>2.04</v>
      </c>
      <c r="L140">
        <v>2.2517281857310549</v>
      </c>
      <c r="M140">
        <v>1.734474581295391</v>
      </c>
      <c r="N140">
        <v>3.8872549019607852</v>
      </c>
      <c r="O140">
        <v>192.5</v>
      </c>
      <c r="P140">
        <v>142.44999999999999</v>
      </c>
      <c r="Q140">
        <v>3.85</v>
      </c>
      <c r="R140">
        <v>192.5</v>
      </c>
      <c r="S140">
        <v>142.44999999999999</v>
      </c>
      <c r="T140">
        <v>3.85</v>
      </c>
      <c r="U140">
        <v>1621.3767079692191</v>
      </c>
      <c r="V140">
        <v>1008.993775752186</v>
      </c>
      <c r="W140">
        <v>48.725931372549027</v>
      </c>
      <c r="X140">
        <v>192.5</v>
      </c>
      <c r="Y140">
        <v>142.44999999999999</v>
      </c>
      <c r="Z140">
        <v>3.85</v>
      </c>
      <c r="AA140">
        <v>395.036</v>
      </c>
      <c r="AB140">
        <v>298.77499999999998</v>
      </c>
      <c r="AC140">
        <v>7.5910000000000002</v>
      </c>
      <c r="AD140">
        <v>736.30423598973948</v>
      </c>
      <c r="AE140">
        <v>483.40625858406202</v>
      </c>
      <c r="AF140">
        <v>20.055643790849679</v>
      </c>
      <c r="AG140">
        <v>2.8249570700765689</v>
      </c>
      <c r="AH140">
        <v>2.393515328775444</v>
      </c>
      <c r="AI140">
        <v>2.8249570700765689</v>
      </c>
      <c r="AJ140">
        <v>2.393515328775444</v>
      </c>
    </row>
    <row r="141" spans="1:36" x14ac:dyDescent="0.35">
      <c r="A141" t="s">
        <v>39</v>
      </c>
      <c r="B141">
        <v>868900</v>
      </c>
      <c r="C141" t="s">
        <v>72</v>
      </c>
      <c r="D141" t="s">
        <v>1610</v>
      </c>
      <c r="E141" t="s">
        <v>1592</v>
      </c>
      <c r="F141">
        <v>492.73</v>
      </c>
      <c r="G141">
        <v>906.61</v>
      </c>
      <c r="H141">
        <v>22.99</v>
      </c>
      <c r="I141">
        <v>140.71</v>
      </c>
      <c r="J141">
        <v>293.61</v>
      </c>
      <c r="K141">
        <v>5.63</v>
      </c>
      <c r="L141">
        <v>2.5017411697818202</v>
      </c>
      <c r="M141">
        <v>2.0878035489254452</v>
      </c>
      <c r="N141">
        <v>3.083481349911191</v>
      </c>
      <c r="O141">
        <v>155.93</v>
      </c>
      <c r="P141">
        <v>286.91000000000003</v>
      </c>
      <c r="Q141">
        <v>7.28</v>
      </c>
      <c r="R141">
        <v>181.92</v>
      </c>
      <c r="S141">
        <v>334.73</v>
      </c>
      <c r="T141">
        <v>8.49</v>
      </c>
      <c r="U141">
        <v>1725.4129265865961</v>
      </c>
      <c r="V141">
        <v>2799.4335754912981</v>
      </c>
      <c r="W141">
        <v>93.879236234458276</v>
      </c>
      <c r="X141">
        <v>155.93</v>
      </c>
      <c r="Y141">
        <v>286.91000000000003</v>
      </c>
      <c r="Z141">
        <v>7.28</v>
      </c>
      <c r="AA141">
        <v>387.12400000000002</v>
      </c>
      <c r="AB141">
        <v>722.70999999999992</v>
      </c>
      <c r="AC141">
        <v>17.782</v>
      </c>
      <c r="AD141">
        <v>756.15564219553198</v>
      </c>
      <c r="AE141">
        <v>1269.684525163766</v>
      </c>
      <c r="AF141">
        <v>39.647078744819417</v>
      </c>
      <c r="AG141">
        <v>3.8493275328386578</v>
      </c>
      <c r="AH141">
        <v>3.4253756410155298</v>
      </c>
      <c r="AI141">
        <v>3.1565283761847631</v>
      </c>
      <c r="AJ141">
        <v>2.793160234110375</v>
      </c>
    </row>
    <row r="142" spans="1:36" x14ac:dyDescent="0.35">
      <c r="A142" t="s">
        <v>39</v>
      </c>
      <c r="B142">
        <v>868901</v>
      </c>
      <c r="C142" t="s">
        <v>72</v>
      </c>
      <c r="D142" t="s">
        <v>1627</v>
      </c>
      <c r="E142" t="s">
        <v>1628</v>
      </c>
      <c r="F142">
        <v>116.94</v>
      </c>
      <c r="G142">
        <v>131.72999999999999</v>
      </c>
      <c r="H142">
        <v>21.84</v>
      </c>
      <c r="I142">
        <v>26</v>
      </c>
      <c r="J142">
        <v>34.67</v>
      </c>
      <c r="K142">
        <v>4.51</v>
      </c>
      <c r="L142">
        <v>3.4976923076923079</v>
      </c>
      <c r="M142">
        <v>2.799538505912893</v>
      </c>
      <c r="N142">
        <v>3.8425720620842569</v>
      </c>
      <c r="O142">
        <v>39.36</v>
      </c>
      <c r="P142">
        <v>44.35</v>
      </c>
      <c r="Q142">
        <v>7.35</v>
      </c>
      <c r="R142">
        <v>39.36</v>
      </c>
      <c r="S142">
        <v>44.35</v>
      </c>
      <c r="T142">
        <v>7.35</v>
      </c>
      <c r="U142">
        <v>525.96013846153846</v>
      </c>
      <c r="V142">
        <v>500.5132073839053</v>
      </c>
      <c r="W142">
        <v>105.7617738359202</v>
      </c>
      <c r="X142">
        <v>39.36</v>
      </c>
      <c r="Y142">
        <v>44.35</v>
      </c>
      <c r="Z142">
        <v>7.35</v>
      </c>
      <c r="AA142">
        <v>89.657999999999987</v>
      </c>
      <c r="AB142">
        <v>102.61199999999999</v>
      </c>
      <c r="AC142">
        <v>16.640999999999998</v>
      </c>
      <c r="AD142">
        <v>218.32604615384619</v>
      </c>
      <c r="AE142">
        <v>215.82506912796839</v>
      </c>
      <c r="AF142">
        <v>43.250924611973403</v>
      </c>
      <c r="AG142">
        <v>4.5469015791119451</v>
      </c>
      <c r="AH142">
        <v>3.8664051663577998</v>
      </c>
      <c r="AI142">
        <v>4.5469015791119451</v>
      </c>
      <c r="AJ142">
        <v>3.8664051663577998</v>
      </c>
    </row>
    <row r="143" spans="1:36" x14ac:dyDescent="0.35">
      <c r="A143" t="s">
        <v>39</v>
      </c>
      <c r="B143">
        <v>868902</v>
      </c>
      <c r="C143" t="s">
        <v>72</v>
      </c>
      <c r="D143" t="s">
        <v>1635</v>
      </c>
      <c r="E143" t="s">
        <v>1628</v>
      </c>
      <c r="F143">
        <v>31.07</v>
      </c>
      <c r="G143">
        <v>255.32</v>
      </c>
      <c r="H143">
        <v>10.14</v>
      </c>
      <c r="I143">
        <v>3.9</v>
      </c>
      <c r="J143">
        <v>32.81</v>
      </c>
      <c r="K143">
        <v>1.17</v>
      </c>
      <c r="L143">
        <v>6.9666666666666668</v>
      </c>
      <c r="M143">
        <v>6.7817738494361466</v>
      </c>
      <c r="N143">
        <v>7.6666666666666679</v>
      </c>
      <c r="O143">
        <v>7.88</v>
      </c>
      <c r="P143">
        <v>64.77</v>
      </c>
      <c r="Q143">
        <v>2.57</v>
      </c>
      <c r="R143">
        <v>11.82</v>
      </c>
      <c r="S143">
        <v>97.16</v>
      </c>
      <c r="T143">
        <v>3.86</v>
      </c>
      <c r="U143">
        <v>247.52433333333329</v>
      </c>
      <c r="V143">
        <v>1986.8424992380369</v>
      </c>
      <c r="W143">
        <v>87.880000000000024</v>
      </c>
      <c r="X143">
        <v>7.88</v>
      </c>
      <c r="Y143">
        <v>64.77</v>
      </c>
      <c r="Z143">
        <v>2.57</v>
      </c>
      <c r="AA143">
        <v>22.919</v>
      </c>
      <c r="AB143">
        <v>188.56700000000001</v>
      </c>
      <c r="AC143">
        <v>7.4489999999999998</v>
      </c>
      <c r="AD143">
        <v>92.774444444444441</v>
      </c>
      <c r="AE143">
        <v>746.72649974601245</v>
      </c>
      <c r="AF143">
        <v>32.633000000000003</v>
      </c>
      <c r="AG143">
        <v>10.773406655386349</v>
      </c>
      <c r="AH143">
        <v>10.52889454602459</v>
      </c>
      <c r="AI143">
        <v>6.8489377702575656</v>
      </c>
      <c r="AJ143">
        <v>6.6855341678263942</v>
      </c>
    </row>
    <row r="144" spans="1:36" x14ac:dyDescent="0.35">
      <c r="A144" t="s">
        <v>39</v>
      </c>
      <c r="B144">
        <v>868903</v>
      </c>
      <c r="C144" t="s">
        <v>72</v>
      </c>
      <c r="D144" t="s">
        <v>1649</v>
      </c>
      <c r="E144" t="s">
        <v>1628</v>
      </c>
      <c r="F144">
        <v>51.04</v>
      </c>
      <c r="G144">
        <v>62.28</v>
      </c>
      <c r="H144">
        <v>18.03</v>
      </c>
      <c r="I144">
        <v>12.85</v>
      </c>
      <c r="J144">
        <v>18.239999999999998</v>
      </c>
      <c r="K144">
        <v>4.1100000000000003</v>
      </c>
      <c r="L144">
        <v>2.971984435797665</v>
      </c>
      <c r="M144">
        <v>2.414473684210527</v>
      </c>
      <c r="N144">
        <v>3.386861313868613</v>
      </c>
      <c r="O144">
        <v>25.82</v>
      </c>
      <c r="P144">
        <v>31.5</v>
      </c>
      <c r="Q144">
        <v>9.1199999999999992</v>
      </c>
      <c r="R144">
        <v>12.91</v>
      </c>
      <c r="S144">
        <v>15.75</v>
      </c>
      <c r="T144">
        <v>4.5599999999999996</v>
      </c>
      <c r="U144">
        <v>202.73008560311291</v>
      </c>
      <c r="V144">
        <v>212.65342105263159</v>
      </c>
      <c r="W144">
        <v>79.095109489051111</v>
      </c>
      <c r="X144">
        <v>25.82</v>
      </c>
      <c r="Y144">
        <v>31.5</v>
      </c>
      <c r="Z144">
        <v>9.1199999999999992</v>
      </c>
      <c r="AA144">
        <v>39.582999999999991</v>
      </c>
      <c r="AB144">
        <v>49.067999999999998</v>
      </c>
      <c r="AC144">
        <v>13.853999999999999</v>
      </c>
      <c r="AD144">
        <v>89.377695201037611</v>
      </c>
      <c r="AE144">
        <v>97.740473684210528</v>
      </c>
      <c r="AF144">
        <v>34.023036496350372</v>
      </c>
      <c r="AG144">
        <v>2.4615683656482421</v>
      </c>
      <c r="AH144">
        <v>2.1028721804511279</v>
      </c>
      <c r="AI144">
        <v>5.9231367312964842</v>
      </c>
      <c r="AJ144">
        <v>5.2057443609022558</v>
      </c>
    </row>
    <row r="145" spans="1:36" x14ac:dyDescent="0.35">
      <c r="A145" t="s">
        <v>39</v>
      </c>
      <c r="B145">
        <v>868855</v>
      </c>
      <c r="C145" t="s">
        <v>72</v>
      </c>
      <c r="D145" t="s">
        <v>1664</v>
      </c>
      <c r="E145" t="s">
        <v>1558</v>
      </c>
      <c r="F145">
        <v>446.78000000000009</v>
      </c>
      <c r="G145">
        <v>339.56</v>
      </c>
      <c r="H145">
        <v>8.94</v>
      </c>
      <c r="I145">
        <v>110.53</v>
      </c>
      <c r="J145">
        <v>98.74</v>
      </c>
      <c r="K145">
        <v>1.47</v>
      </c>
      <c r="L145">
        <v>3.0421604994119251</v>
      </c>
      <c r="M145">
        <v>2.438930524610087</v>
      </c>
      <c r="N145">
        <v>5.0816326530612246</v>
      </c>
      <c r="O145">
        <v>130.63999999999999</v>
      </c>
      <c r="P145">
        <v>99.29</v>
      </c>
      <c r="Q145">
        <v>2.61</v>
      </c>
      <c r="R145">
        <v>149.30000000000001</v>
      </c>
      <c r="S145">
        <v>113.47</v>
      </c>
      <c r="T145">
        <v>2.99</v>
      </c>
      <c r="U145">
        <v>1805.9564679272601</v>
      </c>
      <c r="V145">
        <v>1167.7232489366011</v>
      </c>
      <c r="W145">
        <v>54.369795918367338</v>
      </c>
      <c r="X145">
        <v>130.63999999999999</v>
      </c>
      <c r="Y145">
        <v>99.29</v>
      </c>
      <c r="Z145">
        <v>2.61</v>
      </c>
      <c r="AA145">
        <v>345.90499999999997</v>
      </c>
      <c r="AB145">
        <v>267.31400000000002</v>
      </c>
      <c r="AC145">
        <v>6.698999999999999</v>
      </c>
      <c r="AD145">
        <v>760.83382264242016</v>
      </c>
      <c r="AE145">
        <v>511.44241631220052</v>
      </c>
      <c r="AF145">
        <v>21.22626530612245</v>
      </c>
      <c r="AG145">
        <v>4.8238963766259966</v>
      </c>
      <c r="AH145">
        <v>4.1509962364004478</v>
      </c>
      <c r="AI145">
        <v>4.0960068495808448</v>
      </c>
      <c r="AJ145">
        <v>3.5072919389459809</v>
      </c>
    </row>
    <row r="146" spans="1:36" x14ac:dyDescent="0.35">
      <c r="A146" t="s">
        <v>39</v>
      </c>
      <c r="B146">
        <v>868866</v>
      </c>
      <c r="C146" t="s">
        <v>72</v>
      </c>
      <c r="D146" t="s">
        <v>1679</v>
      </c>
      <c r="E146" t="s">
        <v>1558</v>
      </c>
      <c r="F146">
        <v>202.26</v>
      </c>
      <c r="G146">
        <v>342.51</v>
      </c>
      <c r="H146">
        <v>8.09</v>
      </c>
      <c r="I146">
        <v>62.04</v>
      </c>
      <c r="J146">
        <v>117.05</v>
      </c>
      <c r="K146">
        <v>2.48</v>
      </c>
      <c r="L146">
        <v>2.260154738878144</v>
      </c>
      <c r="M146">
        <v>1.926185390858608</v>
      </c>
      <c r="N146">
        <v>2.262096774193548</v>
      </c>
      <c r="O146">
        <v>57.06</v>
      </c>
      <c r="P146">
        <v>96.62</v>
      </c>
      <c r="Q146">
        <v>2.2799999999999998</v>
      </c>
      <c r="R146">
        <v>63.4</v>
      </c>
      <c r="S146">
        <v>107.36</v>
      </c>
      <c r="T146">
        <v>2.54</v>
      </c>
      <c r="U146">
        <v>659.39889748549342</v>
      </c>
      <c r="V146">
        <v>1002.247758222982</v>
      </c>
      <c r="W146">
        <v>26.39036290322581</v>
      </c>
      <c r="X146">
        <v>57.06</v>
      </c>
      <c r="Y146">
        <v>96.62</v>
      </c>
      <c r="Z146">
        <v>2.2799999999999998</v>
      </c>
      <c r="AA146">
        <v>160.19399999999999</v>
      </c>
      <c r="AB146">
        <v>274.87200000000001</v>
      </c>
      <c r="AC146">
        <v>6.4069999999999991</v>
      </c>
      <c r="AD146">
        <v>292.21763249516448</v>
      </c>
      <c r="AE146">
        <v>457.91325274099381</v>
      </c>
      <c r="AF146">
        <v>11.692454301075269</v>
      </c>
      <c r="AG146">
        <v>4.1212343584851814</v>
      </c>
      <c r="AH146">
        <v>3.7393215974021299</v>
      </c>
      <c r="AI146">
        <v>3.6091109226366642</v>
      </c>
      <c r="AJ146">
        <v>3.265212860851284</v>
      </c>
    </row>
    <row r="147" spans="1:36" x14ac:dyDescent="0.35">
      <c r="A147" t="s">
        <v>39</v>
      </c>
      <c r="B147">
        <v>868873</v>
      </c>
      <c r="C147" t="s">
        <v>72</v>
      </c>
      <c r="D147" t="s">
        <v>1696</v>
      </c>
      <c r="E147" t="s">
        <v>1173</v>
      </c>
      <c r="F147">
        <v>0</v>
      </c>
      <c r="G147">
        <v>0</v>
      </c>
      <c r="H147">
        <v>0</v>
      </c>
      <c r="I147">
        <v>23.08</v>
      </c>
      <c r="J147">
        <v>74.930000000000007</v>
      </c>
      <c r="K147">
        <v>2.31</v>
      </c>
      <c r="L147">
        <v>-1</v>
      </c>
      <c r="M147">
        <v>-1</v>
      </c>
      <c r="N147">
        <v>-1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6.9239999999999986</v>
      </c>
      <c r="AB147">
        <v>22.478999999999999</v>
      </c>
      <c r="AC147">
        <v>0.69299999999999995</v>
      </c>
      <c r="AD147">
        <v>2.3079999999999998</v>
      </c>
      <c r="AE147">
        <v>7.4930000000000012</v>
      </c>
      <c r="AF147">
        <v>0.23100000000000001</v>
      </c>
    </row>
    <row r="148" spans="1:36" x14ac:dyDescent="0.35">
      <c r="A148" t="s">
        <v>39</v>
      </c>
      <c r="B148">
        <v>868875</v>
      </c>
      <c r="C148" t="s">
        <v>72</v>
      </c>
      <c r="D148" t="s">
        <v>1702</v>
      </c>
      <c r="E148" t="s">
        <v>1173</v>
      </c>
      <c r="F148">
        <v>36.69</v>
      </c>
      <c r="G148">
        <v>211.08</v>
      </c>
      <c r="H148">
        <v>22.74</v>
      </c>
      <c r="I148">
        <v>36.89</v>
      </c>
      <c r="J148">
        <v>234.15</v>
      </c>
      <c r="K148">
        <v>20.91</v>
      </c>
      <c r="L148">
        <v>-5.421523448088994E-3</v>
      </c>
      <c r="M148">
        <v>-9.8526585522101362E-2</v>
      </c>
      <c r="N148">
        <v>8.7517934002869557E-2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36.491084304689608</v>
      </c>
      <c r="V148">
        <v>190.28300832799479</v>
      </c>
      <c r="W148">
        <v>24.730157819225251</v>
      </c>
      <c r="X148">
        <v>0</v>
      </c>
      <c r="Y148">
        <v>0</v>
      </c>
      <c r="Z148">
        <v>0</v>
      </c>
      <c r="AA148">
        <v>36.75</v>
      </c>
      <c r="AB148">
        <v>218.001</v>
      </c>
      <c r="AC148">
        <v>22.190999999999999</v>
      </c>
      <c r="AD148">
        <v>24.41369476822987</v>
      </c>
      <c r="AE148">
        <v>136.09466944266489</v>
      </c>
      <c r="AF148">
        <v>15.64038593974175</v>
      </c>
    </row>
    <row r="149" spans="1:36" x14ac:dyDescent="0.35">
      <c r="A149" t="s">
        <v>39</v>
      </c>
      <c r="B149">
        <v>878021</v>
      </c>
      <c r="C149" t="s">
        <v>72</v>
      </c>
      <c r="D149" t="s">
        <v>1710</v>
      </c>
      <c r="E149" t="s">
        <v>943</v>
      </c>
      <c r="F149">
        <v>176</v>
      </c>
      <c r="G149">
        <v>140.06</v>
      </c>
      <c r="H149">
        <v>4.8900000000000006</v>
      </c>
      <c r="I149">
        <v>149.58000000000001</v>
      </c>
      <c r="J149">
        <v>145.66</v>
      </c>
      <c r="K149">
        <v>4.72</v>
      </c>
      <c r="L149">
        <v>0.1766278914293353</v>
      </c>
      <c r="M149">
        <v>-3.8445695455169522E-2</v>
      </c>
      <c r="N149">
        <v>3.601694915254261E-2</v>
      </c>
      <c r="O149">
        <v>96</v>
      </c>
      <c r="P149">
        <v>76.400000000000006</v>
      </c>
      <c r="Q149">
        <v>2.66</v>
      </c>
      <c r="R149">
        <v>132</v>
      </c>
      <c r="S149">
        <v>105.05</v>
      </c>
      <c r="T149">
        <v>3.66</v>
      </c>
      <c r="U149">
        <v>207.086508891563</v>
      </c>
      <c r="V149">
        <v>134.67529589454901</v>
      </c>
      <c r="W149">
        <v>5.066122881355934</v>
      </c>
      <c r="X149">
        <v>96</v>
      </c>
      <c r="Y149">
        <v>76.400000000000006</v>
      </c>
      <c r="Z149">
        <v>2.66</v>
      </c>
      <c r="AA149">
        <v>168.07400000000001</v>
      </c>
      <c r="AB149">
        <v>141.74</v>
      </c>
      <c r="AC149">
        <v>4.8390000000000004</v>
      </c>
      <c r="AD149">
        <v>157.05350296385441</v>
      </c>
      <c r="AE149">
        <v>117.6050986315163</v>
      </c>
      <c r="AF149">
        <v>4.1883742937853112</v>
      </c>
      <c r="AG149">
        <v>0.63597398920681614</v>
      </c>
      <c r="AH149">
        <v>0.53933375172141784</v>
      </c>
      <c r="AI149">
        <v>0.1897992648776845</v>
      </c>
      <c r="AJ149">
        <v>0.1195154557973948</v>
      </c>
    </row>
    <row r="150" spans="1:36" x14ac:dyDescent="0.35">
      <c r="A150" t="s">
        <v>39</v>
      </c>
      <c r="B150">
        <v>882028</v>
      </c>
      <c r="C150" t="s">
        <v>72</v>
      </c>
      <c r="D150" t="s">
        <v>1730</v>
      </c>
      <c r="E150" t="s">
        <v>215</v>
      </c>
      <c r="F150">
        <v>67.800000000000011</v>
      </c>
      <c r="G150">
        <v>76.08</v>
      </c>
      <c r="H150">
        <v>4.08</v>
      </c>
      <c r="I150">
        <v>22.32</v>
      </c>
      <c r="J150">
        <v>35.31</v>
      </c>
      <c r="K150">
        <v>1.19</v>
      </c>
      <c r="L150">
        <v>2.0376344086021509</v>
      </c>
      <c r="M150">
        <v>1.1546304163126591</v>
      </c>
      <c r="N150">
        <v>2.4285714285714288</v>
      </c>
      <c r="O150">
        <v>22.6</v>
      </c>
      <c r="P150">
        <v>25.36</v>
      </c>
      <c r="Q150">
        <v>1.36</v>
      </c>
      <c r="R150">
        <v>22.6</v>
      </c>
      <c r="S150">
        <v>25.36</v>
      </c>
      <c r="T150">
        <v>1.36</v>
      </c>
      <c r="U150">
        <v>205.95161290322591</v>
      </c>
      <c r="V150">
        <v>163.9242820730671</v>
      </c>
      <c r="W150">
        <v>13.988571428571429</v>
      </c>
      <c r="X150">
        <v>22.6</v>
      </c>
      <c r="Y150">
        <v>25.36</v>
      </c>
      <c r="Z150">
        <v>1.36</v>
      </c>
      <c r="AA150">
        <v>54.156000000000013</v>
      </c>
      <c r="AB150">
        <v>63.84899999999999</v>
      </c>
      <c r="AC150">
        <v>3.2130000000000001</v>
      </c>
      <c r="AD150">
        <v>94.23587096774196</v>
      </c>
      <c r="AE150">
        <v>84.377760691022374</v>
      </c>
      <c r="AF150">
        <v>6.1871904761904766</v>
      </c>
      <c r="AG150">
        <v>3.169728803882387</v>
      </c>
      <c r="AH150">
        <v>2.3271987654188639</v>
      </c>
      <c r="AI150">
        <v>3.169728803882387</v>
      </c>
      <c r="AJ150">
        <v>2.3271987654188639</v>
      </c>
    </row>
    <row r="151" spans="1:36" x14ac:dyDescent="0.35">
      <c r="A151" t="s">
        <v>39</v>
      </c>
      <c r="B151">
        <v>942040</v>
      </c>
      <c r="C151" t="s">
        <v>41</v>
      </c>
      <c r="D151" t="s">
        <v>1736</v>
      </c>
      <c r="E151" t="s">
        <v>74</v>
      </c>
      <c r="F151">
        <v>1.26</v>
      </c>
      <c r="G151">
        <v>129.51</v>
      </c>
      <c r="H151">
        <v>4.62</v>
      </c>
      <c r="I151">
        <v>0</v>
      </c>
      <c r="J151">
        <v>0</v>
      </c>
      <c r="K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X151">
        <v>0</v>
      </c>
      <c r="Y151">
        <v>0</v>
      </c>
      <c r="Z151">
        <v>0</v>
      </c>
      <c r="AA151">
        <v>0.8819999999999999</v>
      </c>
      <c r="AB151">
        <v>90.656999999999982</v>
      </c>
      <c r="AC151">
        <v>3.234</v>
      </c>
      <c r="AD151">
        <v>0.44099999999999989</v>
      </c>
      <c r="AE151">
        <v>45.328499999999991</v>
      </c>
      <c r="AF151">
        <v>1.617</v>
      </c>
    </row>
    <row r="152" spans="1:36" x14ac:dyDescent="0.35">
      <c r="A152" t="s">
        <v>39</v>
      </c>
      <c r="B152">
        <v>946579</v>
      </c>
      <c r="C152" t="s">
        <v>41</v>
      </c>
      <c r="D152" t="s">
        <v>1742</v>
      </c>
      <c r="E152" t="s">
        <v>1743</v>
      </c>
      <c r="F152">
        <v>5.7200000000000006</v>
      </c>
      <c r="G152">
        <v>589.16000000000008</v>
      </c>
      <c r="H152">
        <v>21.09</v>
      </c>
      <c r="I152">
        <v>0</v>
      </c>
      <c r="J152">
        <v>0</v>
      </c>
      <c r="K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X152">
        <v>0</v>
      </c>
      <c r="Y152">
        <v>0</v>
      </c>
      <c r="Z152">
        <v>0</v>
      </c>
      <c r="AA152">
        <v>4.0039999999999996</v>
      </c>
      <c r="AB152">
        <v>412.41199999999998</v>
      </c>
      <c r="AC152">
        <v>14.763</v>
      </c>
      <c r="AD152">
        <v>2.0019999999999998</v>
      </c>
      <c r="AE152">
        <v>206.20599999999999</v>
      </c>
      <c r="AF152">
        <v>7.3814999999999991</v>
      </c>
    </row>
    <row r="153" spans="1:36" x14ac:dyDescent="0.35">
      <c r="A153" t="s">
        <v>39</v>
      </c>
      <c r="B153">
        <v>944809</v>
      </c>
      <c r="C153" t="s">
        <v>72</v>
      </c>
      <c r="D153" t="s">
        <v>1748</v>
      </c>
      <c r="E153" t="s">
        <v>692</v>
      </c>
      <c r="F153">
        <v>16.63</v>
      </c>
      <c r="G153">
        <v>34.39</v>
      </c>
      <c r="H153">
        <v>1.01</v>
      </c>
      <c r="I153">
        <v>0</v>
      </c>
      <c r="J153">
        <v>0</v>
      </c>
      <c r="K153">
        <v>0</v>
      </c>
      <c r="O153">
        <v>3.85</v>
      </c>
      <c r="P153">
        <v>7.96</v>
      </c>
      <c r="Q153">
        <v>0.23</v>
      </c>
      <c r="R153">
        <v>5.14</v>
      </c>
      <c r="S153">
        <v>10.63</v>
      </c>
      <c r="T153">
        <v>0.31</v>
      </c>
      <c r="X153">
        <v>3.85</v>
      </c>
      <c r="Y153">
        <v>7.96</v>
      </c>
      <c r="Z153">
        <v>0.23</v>
      </c>
      <c r="AA153">
        <v>11.641</v>
      </c>
      <c r="AB153">
        <v>24.073</v>
      </c>
      <c r="AC153">
        <v>0.70699999999999985</v>
      </c>
      <c r="AD153">
        <v>7.7454999999999989</v>
      </c>
      <c r="AE153">
        <v>16.016500000000001</v>
      </c>
      <c r="AF153">
        <v>0.46849999999999992</v>
      </c>
      <c r="AG153">
        <v>1.0118181818181811</v>
      </c>
      <c r="AH153">
        <v>1.0121231155778889</v>
      </c>
      <c r="AI153">
        <v>0.50690661478599219</v>
      </c>
      <c r="AJ153">
        <v>0.5067262464722484</v>
      </c>
    </row>
    <row r="154" spans="1:36" x14ac:dyDescent="0.35">
      <c r="A154" t="s">
        <v>39</v>
      </c>
      <c r="B154">
        <v>944811</v>
      </c>
      <c r="C154" t="s">
        <v>72</v>
      </c>
      <c r="D154" t="s">
        <v>1756</v>
      </c>
      <c r="E154" t="s">
        <v>692</v>
      </c>
      <c r="F154">
        <v>75.179999999999993</v>
      </c>
      <c r="G154">
        <v>46.62</v>
      </c>
      <c r="H154">
        <v>1.38</v>
      </c>
      <c r="I154">
        <v>0</v>
      </c>
      <c r="J154">
        <v>0</v>
      </c>
      <c r="K154">
        <v>0</v>
      </c>
      <c r="O154">
        <v>19.350000000000001</v>
      </c>
      <c r="P154">
        <v>12</v>
      </c>
      <c r="Q154">
        <v>0.35</v>
      </c>
      <c r="R154">
        <v>25.76</v>
      </c>
      <c r="S154">
        <v>15.98</v>
      </c>
      <c r="T154">
        <v>0.47</v>
      </c>
      <c r="X154">
        <v>19.350000000000001</v>
      </c>
      <c r="Y154">
        <v>12</v>
      </c>
      <c r="Z154">
        <v>0.35</v>
      </c>
      <c r="AA154">
        <v>52.625999999999991</v>
      </c>
      <c r="AB154">
        <v>32.633999999999993</v>
      </c>
      <c r="AC154">
        <v>0.96599999999999997</v>
      </c>
      <c r="AD154">
        <v>35.988</v>
      </c>
      <c r="AE154">
        <v>22.317</v>
      </c>
      <c r="AF154">
        <v>0.65799999999999992</v>
      </c>
      <c r="AG154">
        <v>0.85984496124030985</v>
      </c>
      <c r="AH154">
        <v>0.85974999999999979</v>
      </c>
      <c r="AI154">
        <v>0.39704968944099361</v>
      </c>
      <c r="AJ154">
        <v>0.3965581977471837</v>
      </c>
    </row>
    <row r="155" spans="1:36" x14ac:dyDescent="0.35">
      <c r="A155" t="s">
        <v>39</v>
      </c>
      <c r="B155">
        <v>944810</v>
      </c>
      <c r="C155" t="s">
        <v>72</v>
      </c>
      <c r="D155" t="s">
        <v>1764</v>
      </c>
      <c r="E155" t="s">
        <v>692</v>
      </c>
      <c r="F155">
        <v>8.1999999999999993</v>
      </c>
      <c r="G155">
        <v>10.6</v>
      </c>
      <c r="H155">
        <v>0.8</v>
      </c>
      <c r="I155">
        <v>0</v>
      </c>
      <c r="J155">
        <v>0</v>
      </c>
      <c r="K155">
        <v>0</v>
      </c>
      <c r="O155">
        <v>3.28</v>
      </c>
      <c r="P155">
        <v>4.24</v>
      </c>
      <c r="Q155">
        <v>0.32</v>
      </c>
      <c r="R155">
        <v>3.28</v>
      </c>
      <c r="S155">
        <v>4.24</v>
      </c>
      <c r="T155">
        <v>0.32</v>
      </c>
      <c r="X155">
        <v>3.28</v>
      </c>
      <c r="Y155">
        <v>4.24</v>
      </c>
      <c r="Z155">
        <v>0.32</v>
      </c>
      <c r="AA155">
        <v>5.7399999999999993</v>
      </c>
      <c r="AB155">
        <v>7.4200000000000008</v>
      </c>
      <c r="AC155">
        <v>0.55999999999999994</v>
      </c>
      <c r="AD155">
        <v>4.51</v>
      </c>
      <c r="AE155">
        <v>5.83</v>
      </c>
      <c r="AF155">
        <v>0.43999999999999989</v>
      </c>
      <c r="AG155">
        <v>0.375</v>
      </c>
      <c r="AH155">
        <v>0.375</v>
      </c>
      <c r="AI155">
        <v>0.375</v>
      </c>
      <c r="AJ155">
        <v>0.375</v>
      </c>
    </row>
    <row r="156" spans="1:36" x14ac:dyDescent="0.35">
      <c r="A156" t="s">
        <v>39</v>
      </c>
      <c r="B156">
        <v>770407</v>
      </c>
      <c r="C156" t="s">
        <v>41</v>
      </c>
      <c r="D156" t="s">
        <v>1770</v>
      </c>
      <c r="E156" t="s">
        <v>1771</v>
      </c>
      <c r="F156">
        <v>0</v>
      </c>
      <c r="G156">
        <v>0</v>
      </c>
      <c r="H156">
        <v>0</v>
      </c>
      <c r="I156">
        <v>0.28000000000000003</v>
      </c>
      <c r="J156">
        <v>53.07</v>
      </c>
      <c r="K156">
        <v>1.72</v>
      </c>
      <c r="L156">
        <v>-1</v>
      </c>
      <c r="M156">
        <v>-1</v>
      </c>
      <c r="N156">
        <v>-1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8.4000000000000005E-2</v>
      </c>
      <c r="AB156">
        <v>15.920999999999999</v>
      </c>
      <c r="AC156">
        <v>0.51600000000000001</v>
      </c>
      <c r="AD156">
        <v>2.8000000000000001E-2</v>
      </c>
      <c r="AE156">
        <v>5.3069999999999986</v>
      </c>
      <c r="AF156">
        <v>0.17199999999999999</v>
      </c>
    </row>
    <row r="157" spans="1:36" x14ac:dyDescent="0.35">
      <c r="A157" t="s">
        <v>39</v>
      </c>
      <c r="B157">
        <v>838918</v>
      </c>
      <c r="C157" t="s">
        <v>41</v>
      </c>
      <c r="D157" t="s">
        <v>1775</v>
      </c>
      <c r="E157" t="s">
        <v>1776</v>
      </c>
      <c r="F157">
        <v>5.51</v>
      </c>
      <c r="H157">
        <v>1213.05</v>
      </c>
      <c r="I157">
        <v>1.45</v>
      </c>
      <c r="K157">
        <v>302.66000000000003</v>
      </c>
      <c r="L157">
        <v>2.8</v>
      </c>
      <c r="N157">
        <v>3.0079627304566179</v>
      </c>
      <c r="O157">
        <v>1.4</v>
      </c>
      <c r="Q157">
        <v>308.33</v>
      </c>
      <c r="R157">
        <v>1</v>
      </c>
      <c r="T157">
        <v>220.23</v>
      </c>
      <c r="U157">
        <v>20.937999999999999</v>
      </c>
      <c r="W157">
        <v>4861.8591901804002</v>
      </c>
      <c r="X157">
        <v>1.4</v>
      </c>
      <c r="Z157">
        <v>308.33</v>
      </c>
      <c r="AA157">
        <v>4.2919999999999998</v>
      </c>
      <c r="AC157">
        <v>939.93299999999988</v>
      </c>
      <c r="AD157">
        <v>8.8766666666666652</v>
      </c>
      <c r="AF157">
        <v>2036.7073967268</v>
      </c>
      <c r="AG157">
        <v>5.3404761904761902</v>
      </c>
      <c r="AI157">
        <v>7.8766666666666652</v>
      </c>
    </row>
    <row r="158" spans="1:36" x14ac:dyDescent="0.35">
      <c r="A158" t="s">
        <v>39</v>
      </c>
      <c r="B158">
        <v>580262</v>
      </c>
      <c r="C158" t="s">
        <v>41</v>
      </c>
      <c r="D158" t="s">
        <v>1799</v>
      </c>
      <c r="E158" t="s">
        <v>1800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6" x14ac:dyDescent="0.35">
      <c r="A159" t="s">
        <v>39</v>
      </c>
      <c r="B159">
        <v>580263</v>
      </c>
      <c r="C159" t="s">
        <v>41</v>
      </c>
      <c r="D159" t="s">
        <v>1804</v>
      </c>
      <c r="E159" t="s">
        <v>1805</v>
      </c>
      <c r="F159">
        <v>0</v>
      </c>
      <c r="G159">
        <v>0</v>
      </c>
      <c r="H159">
        <v>0</v>
      </c>
      <c r="I159">
        <v>2</v>
      </c>
      <c r="J159">
        <v>354.55</v>
      </c>
      <c r="K159">
        <v>11.49</v>
      </c>
      <c r="L159">
        <v>-1</v>
      </c>
      <c r="M159">
        <v>-1</v>
      </c>
      <c r="N159">
        <v>-1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0.6</v>
      </c>
      <c r="AB159">
        <v>106.36499999999999</v>
      </c>
      <c r="AC159">
        <v>3.4470000000000001</v>
      </c>
      <c r="AD159">
        <v>0.2</v>
      </c>
      <c r="AE159">
        <v>35.454999999999998</v>
      </c>
      <c r="AF159">
        <v>1.149</v>
      </c>
    </row>
    <row r="160" spans="1:36" x14ac:dyDescent="0.35">
      <c r="A160" t="s">
        <v>39</v>
      </c>
      <c r="B160">
        <v>580264</v>
      </c>
      <c r="C160" t="s">
        <v>41</v>
      </c>
      <c r="D160" t="s">
        <v>1810</v>
      </c>
      <c r="E160" t="s">
        <v>1805</v>
      </c>
      <c r="F160">
        <v>0</v>
      </c>
      <c r="G160">
        <v>0</v>
      </c>
      <c r="H160">
        <v>0</v>
      </c>
      <c r="I160">
        <v>1.8</v>
      </c>
      <c r="J160">
        <v>461.46</v>
      </c>
      <c r="K160">
        <v>14.95</v>
      </c>
      <c r="L160">
        <v>-1</v>
      </c>
      <c r="M160">
        <v>-1</v>
      </c>
      <c r="N160">
        <v>-1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0.54</v>
      </c>
      <c r="AB160">
        <v>138.43799999999999</v>
      </c>
      <c r="AC160">
        <v>4.4849999999999994</v>
      </c>
      <c r="AD160">
        <v>0.18</v>
      </c>
      <c r="AE160">
        <v>46.145999999999987</v>
      </c>
      <c r="AF160">
        <v>1.4950000000000001</v>
      </c>
    </row>
    <row r="161" spans="1:36" x14ac:dyDescent="0.35">
      <c r="A161" t="s">
        <v>39</v>
      </c>
      <c r="B161">
        <v>580266</v>
      </c>
      <c r="C161" t="s">
        <v>41</v>
      </c>
      <c r="D161" t="s">
        <v>1815</v>
      </c>
      <c r="E161" t="s">
        <v>1805</v>
      </c>
      <c r="F161">
        <v>0</v>
      </c>
      <c r="G161">
        <v>0</v>
      </c>
      <c r="H161">
        <v>0</v>
      </c>
      <c r="I161">
        <v>0.75</v>
      </c>
      <c r="J161">
        <v>88.64</v>
      </c>
      <c r="K161">
        <v>2.87</v>
      </c>
      <c r="L161">
        <v>-1</v>
      </c>
      <c r="M161">
        <v>-1</v>
      </c>
      <c r="N161">
        <v>-1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0.22500000000000001</v>
      </c>
      <c r="AB161">
        <v>26.591999999999999</v>
      </c>
      <c r="AC161">
        <v>0.86099999999999999</v>
      </c>
      <c r="AD161">
        <v>7.4999999999999997E-2</v>
      </c>
      <c r="AE161">
        <v>8.863999999999999</v>
      </c>
      <c r="AF161">
        <v>0.28699999999999998</v>
      </c>
    </row>
    <row r="162" spans="1:36" x14ac:dyDescent="0.35">
      <c r="A162" t="s">
        <v>39</v>
      </c>
      <c r="B162">
        <v>674905</v>
      </c>
      <c r="C162" t="s">
        <v>41</v>
      </c>
      <c r="D162" t="s">
        <v>1821</v>
      </c>
      <c r="E162" t="s">
        <v>1822</v>
      </c>
      <c r="F162">
        <v>0</v>
      </c>
      <c r="G162">
        <v>0</v>
      </c>
      <c r="H162">
        <v>0</v>
      </c>
      <c r="I162">
        <v>0.68</v>
      </c>
      <c r="J162">
        <v>122.4</v>
      </c>
      <c r="K162">
        <v>3.97</v>
      </c>
      <c r="L162">
        <v>-1</v>
      </c>
      <c r="M162">
        <v>-1</v>
      </c>
      <c r="N162">
        <v>-1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0.20399999999999999</v>
      </c>
      <c r="AB162">
        <v>36.72</v>
      </c>
      <c r="AC162">
        <v>1.1910000000000001</v>
      </c>
      <c r="AD162">
        <v>6.8000000000000005E-2</v>
      </c>
      <c r="AE162">
        <v>12.24</v>
      </c>
      <c r="AF162">
        <v>0.39700000000000002</v>
      </c>
    </row>
    <row r="163" spans="1:36" x14ac:dyDescent="0.35">
      <c r="A163" t="s">
        <v>39</v>
      </c>
      <c r="B163">
        <v>867817</v>
      </c>
      <c r="C163" t="s">
        <v>41</v>
      </c>
      <c r="D163" t="s">
        <v>1827</v>
      </c>
      <c r="E163" t="s">
        <v>1828</v>
      </c>
      <c r="F163">
        <v>61.279999999999987</v>
      </c>
      <c r="H163">
        <v>171.57</v>
      </c>
      <c r="I163">
        <v>10</v>
      </c>
      <c r="J163">
        <v>818.2</v>
      </c>
      <c r="K163">
        <v>26.53</v>
      </c>
      <c r="L163">
        <v>5.1279999999999992</v>
      </c>
      <c r="N163">
        <v>5.4670184696569928</v>
      </c>
      <c r="O163">
        <v>20</v>
      </c>
      <c r="Q163">
        <v>56</v>
      </c>
      <c r="R163">
        <v>11.98</v>
      </c>
      <c r="S163">
        <v>937.16</v>
      </c>
      <c r="T163">
        <v>33.53</v>
      </c>
      <c r="U163">
        <v>375.52383999999989</v>
      </c>
      <c r="W163">
        <v>1109.5463588390501</v>
      </c>
      <c r="X163">
        <v>20</v>
      </c>
      <c r="Z163">
        <v>56</v>
      </c>
      <c r="AA163">
        <v>45.895999999999987</v>
      </c>
      <c r="AC163">
        <v>128.05799999999999</v>
      </c>
      <c r="AD163">
        <v>147.13994666666659</v>
      </c>
      <c r="AF163">
        <v>431.20145294635012</v>
      </c>
      <c r="AG163">
        <v>6.3569973333333323</v>
      </c>
      <c r="AI163">
        <v>11.28213244296049</v>
      </c>
    </row>
    <row r="164" spans="1:36" x14ac:dyDescent="0.35">
      <c r="A164" t="s">
        <v>39</v>
      </c>
      <c r="B164">
        <v>584772</v>
      </c>
      <c r="C164" t="s">
        <v>41</v>
      </c>
      <c r="D164" t="s">
        <v>1849</v>
      </c>
      <c r="E164" t="s">
        <v>1850</v>
      </c>
      <c r="F164">
        <v>9</v>
      </c>
      <c r="H164">
        <v>298.98</v>
      </c>
      <c r="I164">
        <v>0</v>
      </c>
      <c r="J164">
        <v>0</v>
      </c>
      <c r="K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X164">
        <v>0</v>
      </c>
      <c r="Y164">
        <v>0</v>
      </c>
      <c r="Z164">
        <v>0</v>
      </c>
      <c r="AA164">
        <v>6.3</v>
      </c>
      <c r="AC164">
        <v>209.286</v>
      </c>
      <c r="AD164">
        <v>3.15</v>
      </c>
      <c r="AE164">
        <v>0</v>
      </c>
      <c r="AF164">
        <v>104.643</v>
      </c>
    </row>
    <row r="165" spans="1:36" x14ac:dyDescent="0.35">
      <c r="A165" t="s">
        <v>39</v>
      </c>
      <c r="B165">
        <v>832626</v>
      </c>
      <c r="C165" t="s">
        <v>41</v>
      </c>
      <c r="D165" t="s">
        <v>1856</v>
      </c>
      <c r="E165" t="s">
        <v>1857</v>
      </c>
      <c r="F165">
        <v>0.58000000000000007</v>
      </c>
      <c r="G165">
        <v>211.82</v>
      </c>
      <c r="H165">
        <v>7.57</v>
      </c>
      <c r="I165">
        <v>0.05</v>
      </c>
      <c r="J165">
        <v>20.49</v>
      </c>
      <c r="K165">
        <v>0.66</v>
      </c>
      <c r="L165">
        <v>10.6</v>
      </c>
      <c r="M165">
        <v>9.3377257198633483</v>
      </c>
      <c r="N165">
        <v>10.469696969696971</v>
      </c>
      <c r="O165">
        <v>0.12</v>
      </c>
      <c r="P165">
        <v>43.83</v>
      </c>
      <c r="Q165">
        <v>1.57</v>
      </c>
      <c r="R165">
        <v>0.15</v>
      </c>
      <c r="S165">
        <v>54.78</v>
      </c>
      <c r="T165">
        <v>1.96</v>
      </c>
      <c r="U165">
        <v>6.7280000000000024</v>
      </c>
      <c r="V165">
        <v>2189.7370619814542</v>
      </c>
      <c r="W165">
        <v>86.825606060606063</v>
      </c>
      <c r="X165">
        <v>0.12</v>
      </c>
      <c r="Y165">
        <v>43.83</v>
      </c>
      <c r="Z165">
        <v>1.57</v>
      </c>
      <c r="AA165">
        <v>0.42099999999999999</v>
      </c>
      <c r="AB165">
        <v>154.42099999999999</v>
      </c>
      <c r="AC165">
        <v>5.4969999999999999</v>
      </c>
      <c r="AD165">
        <v>2.423</v>
      </c>
      <c r="AE165">
        <v>795.99602066048465</v>
      </c>
      <c r="AF165">
        <v>31.297535353535348</v>
      </c>
      <c r="AG165">
        <v>19.19166666666667</v>
      </c>
      <c r="AH165">
        <v>17.16098609766107</v>
      </c>
      <c r="AI165">
        <v>15.15333333333334</v>
      </c>
      <c r="AJ165">
        <v>13.53077803323265</v>
      </c>
    </row>
    <row r="166" spans="1:36" x14ac:dyDescent="0.35">
      <c r="A166" t="s">
        <v>39</v>
      </c>
      <c r="B166">
        <v>770409</v>
      </c>
      <c r="C166" t="s">
        <v>41</v>
      </c>
      <c r="D166" t="s">
        <v>1870</v>
      </c>
      <c r="E166" t="s">
        <v>1871</v>
      </c>
      <c r="F166">
        <v>0</v>
      </c>
      <c r="G166">
        <v>0</v>
      </c>
      <c r="H166">
        <v>0</v>
      </c>
      <c r="I166">
        <v>0.21</v>
      </c>
      <c r="J166">
        <v>25.66</v>
      </c>
      <c r="K166">
        <v>0.83</v>
      </c>
      <c r="L166">
        <v>-1</v>
      </c>
      <c r="M166">
        <v>-1</v>
      </c>
      <c r="N166">
        <v>-1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6.3E-2</v>
      </c>
      <c r="AB166">
        <v>7.6980000000000004</v>
      </c>
      <c r="AC166">
        <v>0.249</v>
      </c>
      <c r="AD166">
        <v>2.1000000000000001E-2</v>
      </c>
      <c r="AE166">
        <v>2.5659999999999998</v>
      </c>
      <c r="AF166">
        <v>8.299999999999999E-2</v>
      </c>
    </row>
    <row r="167" spans="1:36" x14ac:dyDescent="0.35">
      <c r="A167" t="s">
        <v>39</v>
      </c>
      <c r="B167">
        <v>833858</v>
      </c>
      <c r="C167" t="s">
        <v>41</v>
      </c>
      <c r="D167" t="s">
        <v>1877</v>
      </c>
      <c r="E167" t="s">
        <v>1877</v>
      </c>
      <c r="F167">
        <v>111.98</v>
      </c>
      <c r="H167">
        <v>418.05</v>
      </c>
      <c r="I167">
        <v>15</v>
      </c>
      <c r="K167">
        <v>53</v>
      </c>
      <c r="L167">
        <v>6.4653333333333327</v>
      </c>
      <c r="N167">
        <v>6.887735849056603</v>
      </c>
      <c r="O167">
        <v>50</v>
      </c>
      <c r="Q167">
        <v>186.67</v>
      </c>
      <c r="R167">
        <v>15</v>
      </c>
      <c r="T167">
        <v>56</v>
      </c>
      <c r="U167">
        <v>835.96802666666656</v>
      </c>
      <c r="W167">
        <v>3297.4679716981132</v>
      </c>
      <c r="X167">
        <v>50</v>
      </c>
      <c r="Z167">
        <v>186.67</v>
      </c>
      <c r="AA167">
        <v>82.885999999999981</v>
      </c>
      <c r="AC167">
        <v>308.53499999999991</v>
      </c>
      <c r="AD167">
        <v>322.95134222222219</v>
      </c>
      <c r="AF167">
        <v>1264.224323899371</v>
      </c>
      <c r="AG167">
        <v>5.4590268444444439</v>
      </c>
      <c r="AI167">
        <v>20.530089481481479</v>
      </c>
    </row>
    <row r="168" spans="1:36" x14ac:dyDescent="0.35">
      <c r="A168" t="s">
        <v>39</v>
      </c>
      <c r="B168">
        <v>841996</v>
      </c>
      <c r="C168" t="s">
        <v>41</v>
      </c>
      <c r="D168" t="s">
        <v>1888</v>
      </c>
      <c r="E168" t="s">
        <v>1877</v>
      </c>
      <c r="F168">
        <v>0</v>
      </c>
      <c r="G168">
        <v>0</v>
      </c>
      <c r="H168">
        <v>0</v>
      </c>
      <c r="I168">
        <v>0</v>
      </c>
      <c r="J168">
        <v>-0.02</v>
      </c>
      <c r="K168">
        <v>0</v>
      </c>
      <c r="M168">
        <v>-1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V168">
        <v>0</v>
      </c>
      <c r="X168">
        <v>0</v>
      </c>
      <c r="Y168">
        <v>0</v>
      </c>
      <c r="Z168">
        <v>0</v>
      </c>
      <c r="AA168">
        <v>0</v>
      </c>
      <c r="AB168">
        <v>-6.0000000000000001E-3</v>
      </c>
      <c r="AC168">
        <v>0</v>
      </c>
      <c r="AD168">
        <v>0</v>
      </c>
      <c r="AE168">
        <v>-2E-3</v>
      </c>
      <c r="AF168">
        <v>0</v>
      </c>
    </row>
    <row r="169" spans="1:36" x14ac:dyDescent="0.35">
      <c r="A169" t="s">
        <v>39</v>
      </c>
      <c r="B169">
        <v>782777</v>
      </c>
      <c r="C169" t="s">
        <v>41</v>
      </c>
      <c r="D169" t="s">
        <v>1892</v>
      </c>
      <c r="E169" t="s">
        <v>1892</v>
      </c>
      <c r="F169">
        <v>26.84</v>
      </c>
      <c r="H169">
        <v>94.3</v>
      </c>
      <c r="I169">
        <v>5.5</v>
      </c>
      <c r="J169">
        <v>607.49</v>
      </c>
      <c r="K169">
        <v>19.690000000000001</v>
      </c>
      <c r="L169">
        <v>3.8800000000000008</v>
      </c>
      <c r="N169">
        <v>3.78923311325546</v>
      </c>
      <c r="O169">
        <v>8</v>
      </c>
      <c r="P169">
        <v>786.08</v>
      </c>
      <c r="Q169">
        <v>28.11</v>
      </c>
      <c r="R169">
        <v>10.5</v>
      </c>
      <c r="T169">
        <v>36.89</v>
      </c>
      <c r="U169">
        <v>130.97919999999999</v>
      </c>
      <c r="W169">
        <v>451.62468257998978</v>
      </c>
      <c r="X169">
        <v>8</v>
      </c>
      <c r="Y169">
        <v>786.08</v>
      </c>
      <c r="Z169">
        <v>28.11</v>
      </c>
      <c r="AA169">
        <v>20.437999999999999</v>
      </c>
      <c r="AC169">
        <v>71.916999999999987</v>
      </c>
      <c r="AD169">
        <v>53.139066666666679</v>
      </c>
      <c r="AE169">
        <v>786.08</v>
      </c>
      <c r="AF169">
        <v>183.88389419333001</v>
      </c>
      <c r="AG169">
        <v>5.6423833333333349</v>
      </c>
      <c r="AH169">
        <v>0</v>
      </c>
      <c r="AI169">
        <v>4.0608634920634934</v>
      </c>
    </row>
    <row r="170" spans="1:36" x14ac:dyDescent="0.35">
      <c r="A170" t="s">
        <v>39</v>
      </c>
      <c r="B170">
        <v>798100</v>
      </c>
      <c r="C170" t="s">
        <v>41</v>
      </c>
      <c r="D170" t="s">
        <v>1906</v>
      </c>
      <c r="E170" t="s">
        <v>1907</v>
      </c>
      <c r="F170">
        <v>56.7</v>
      </c>
      <c r="G170">
        <v>197.31</v>
      </c>
      <c r="H170">
        <v>7.17</v>
      </c>
      <c r="I170">
        <v>50.36</v>
      </c>
      <c r="J170">
        <v>206.14</v>
      </c>
      <c r="K170">
        <v>6.71</v>
      </c>
      <c r="L170">
        <v>0.12589356632247811</v>
      </c>
      <c r="M170">
        <v>-4.2834966527602547E-2</v>
      </c>
      <c r="N170">
        <v>6.8554396423248898E-2</v>
      </c>
      <c r="O170">
        <v>22.5</v>
      </c>
      <c r="P170">
        <v>78.3</v>
      </c>
      <c r="Q170">
        <v>2.85</v>
      </c>
      <c r="R170">
        <v>8.4</v>
      </c>
      <c r="S170">
        <v>29.23</v>
      </c>
      <c r="T170">
        <v>1.06</v>
      </c>
      <c r="U170">
        <v>63.838165210484497</v>
      </c>
      <c r="V170">
        <v>188.85823275443869</v>
      </c>
      <c r="W170">
        <v>7.6615350223546947</v>
      </c>
      <c r="X170">
        <v>22.5</v>
      </c>
      <c r="Y170">
        <v>78.3</v>
      </c>
      <c r="Z170">
        <v>2.85</v>
      </c>
      <c r="AA170">
        <v>54.797999999999988</v>
      </c>
      <c r="AB170">
        <v>199.959</v>
      </c>
      <c r="AC170">
        <v>7.0319999999999991</v>
      </c>
      <c r="AD170">
        <v>47.045388403494833</v>
      </c>
      <c r="AE170">
        <v>155.70574425147959</v>
      </c>
      <c r="AF170">
        <v>5.8478450074515642</v>
      </c>
      <c r="AG170">
        <v>1.0909061512664371</v>
      </c>
      <c r="AH170">
        <v>0.98857910921429881</v>
      </c>
      <c r="AI170">
        <v>4.6006414766065271</v>
      </c>
      <c r="AJ170">
        <v>4.3269156432254388</v>
      </c>
    </row>
    <row r="171" spans="1:36" x14ac:dyDescent="0.35">
      <c r="A171" t="s">
        <v>39</v>
      </c>
      <c r="B171">
        <v>838877</v>
      </c>
      <c r="C171" t="s">
        <v>41</v>
      </c>
      <c r="D171" t="s">
        <v>1924</v>
      </c>
      <c r="E171" t="s">
        <v>1925</v>
      </c>
      <c r="F171">
        <v>11.49</v>
      </c>
      <c r="G171">
        <v>106.41</v>
      </c>
      <c r="H171">
        <v>3.83</v>
      </c>
      <c r="I171">
        <v>8</v>
      </c>
      <c r="J171">
        <v>78.599999999999994</v>
      </c>
      <c r="K171">
        <v>2.56</v>
      </c>
      <c r="L171">
        <v>0.43625000000000003</v>
      </c>
      <c r="M171">
        <v>0.35381679389312998</v>
      </c>
      <c r="N171">
        <v>0.49609375</v>
      </c>
      <c r="O171">
        <v>0</v>
      </c>
      <c r="P171">
        <v>0</v>
      </c>
      <c r="Q171">
        <v>0</v>
      </c>
      <c r="R171">
        <v>2.4</v>
      </c>
      <c r="S171">
        <v>22.22</v>
      </c>
      <c r="T171">
        <v>0.8</v>
      </c>
      <c r="U171">
        <v>16.502512500000002</v>
      </c>
      <c r="V171">
        <v>144.05964503816799</v>
      </c>
      <c r="W171">
        <v>5.7300390625000004</v>
      </c>
      <c r="X171">
        <v>0</v>
      </c>
      <c r="Y171">
        <v>0</v>
      </c>
      <c r="Z171">
        <v>0</v>
      </c>
      <c r="AA171">
        <v>10.443</v>
      </c>
      <c r="AB171">
        <v>98.067000000000007</v>
      </c>
      <c r="AC171">
        <v>3.4489999999999998</v>
      </c>
      <c r="AD171">
        <v>8.9818374999999993</v>
      </c>
      <c r="AE171">
        <v>80.708881679389336</v>
      </c>
      <c r="AF171">
        <v>3.0596796875000001</v>
      </c>
      <c r="AI171">
        <v>2.7424322916666659</v>
      </c>
      <c r="AJ171">
        <v>2.6322629018627071</v>
      </c>
    </row>
    <row r="172" spans="1:36" x14ac:dyDescent="0.35">
      <c r="A172" t="s">
        <v>39</v>
      </c>
      <c r="B172">
        <v>817403</v>
      </c>
      <c r="C172" t="s">
        <v>41</v>
      </c>
      <c r="D172" t="s">
        <v>1937</v>
      </c>
      <c r="E172" t="s">
        <v>1925</v>
      </c>
      <c r="F172">
        <v>108</v>
      </c>
      <c r="G172">
        <v>1324.08</v>
      </c>
      <c r="H172">
        <v>47.52</v>
      </c>
      <c r="I172">
        <v>84</v>
      </c>
      <c r="K172">
        <v>34.72</v>
      </c>
      <c r="L172">
        <v>0.28571428571428581</v>
      </c>
      <c r="N172">
        <v>0.36866359447004632</v>
      </c>
      <c r="O172">
        <v>0</v>
      </c>
      <c r="P172">
        <v>0</v>
      </c>
      <c r="Q172">
        <v>0</v>
      </c>
      <c r="R172">
        <v>12</v>
      </c>
      <c r="S172">
        <v>147.12</v>
      </c>
      <c r="T172">
        <v>5.28</v>
      </c>
      <c r="U172">
        <v>138.85714285714289</v>
      </c>
      <c r="W172">
        <v>65.038894009216605</v>
      </c>
      <c r="X172">
        <v>0</v>
      </c>
      <c r="Y172">
        <v>0</v>
      </c>
      <c r="Z172">
        <v>0</v>
      </c>
      <c r="AA172">
        <v>100.8</v>
      </c>
      <c r="AC172">
        <v>43.68</v>
      </c>
      <c r="AD172">
        <v>79.885714285714286</v>
      </c>
      <c r="AE172">
        <v>0</v>
      </c>
      <c r="AF172">
        <v>36.23963133640553</v>
      </c>
      <c r="AI172">
        <v>5.6571428571428566</v>
      </c>
      <c r="AJ172">
        <v>-1</v>
      </c>
    </row>
    <row r="173" spans="1:36" x14ac:dyDescent="0.35">
      <c r="A173" t="s">
        <v>39</v>
      </c>
      <c r="B173">
        <v>770412</v>
      </c>
      <c r="C173" t="s">
        <v>41</v>
      </c>
      <c r="D173" t="s">
        <v>1952</v>
      </c>
      <c r="E173" t="s">
        <v>1953</v>
      </c>
      <c r="F173">
        <v>35.619999999999997</v>
      </c>
      <c r="G173">
        <v>2235.09</v>
      </c>
      <c r="H173">
        <v>80.03</v>
      </c>
      <c r="I173">
        <v>31.35</v>
      </c>
      <c r="K173">
        <v>70.650000000000006</v>
      </c>
      <c r="L173">
        <v>0.13620414673046241</v>
      </c>
      <c r="N173">
        <v>0.13276716206652489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40.471591706539073</v>
      </c>
      <c r="W173">
        <v>90.655355980183998</v>
      </c>
      <c r="X173">
        <v>0</v>
      </c>
      <c r="Y173">
        <v>0</v>
      </c>
      <c r="Z173">
        <v>0</v>
      </c>
      <c r="AA173">
        <v>34.338999999999999</v>
      </c>
      <c r="AC173">
        <v>77.215999999999994</v>
      </c>
      <c r="AD173">
        <v>24.936863902179692</v>
      </c>
      <c r="AE173">
        <v>0</v>
      </c>
      <c r="AF173">
        <v>55.957118660061333</v>
      </c>
    </row>
    <row r="174" spans="1:36" x14ac:dyDescent="0.35">
      <c r="A174" t="s">
        <v>39</v>
      </c>
      <c r="B174">
        <v>770413</v>
      </c>
      <c r="C174" t="s">
        <v>41</v>
      </c>
      <c r="D174" t="s">
        <v>1963</v>
      </c>
      <c r="E174" t="s">
        <v>1953</v>
      </c>
      <c r="F174">
        <v>2.56</v>
      </c>
      <c r="G174">
        <v>160.69999999999999</v>
      </c>
      <c r="H174">
        <v>5.76</v>
      </c>
      <c r="I174">
        <v>32.6</v>
      </c>
      <c r="K174">
        <v>73.23</v>
      </c>
      <c r="L174">
        <v>-0.92147239263803682</v>
      </c>
      <c r="N174">
        <v>-0.92134371159360917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0.20103067484662571</v>
      </c>
      <c r="W174">
        <v>0.45306022122081108</v>
      </c>
      <c r="X174">
        <v>0</v>
      </c>
      <c r="Y174">
        <v>0</v>
      </c>
      <c r="Z174">
        <v>0</v>
      </c>
      <c r="AA174">
        <v>11.571999999999999</v>
      </c>
      <c r="AC174">
        <v>26.001000000000001</v>
      </c>
      <c r="AD174">
        <v>3.9243435582822079</v>
      </c>
      <c r="AE174">
        <v>0</v>
      </c>
      <c r="AF174">
        <v>8.8180200737402696</v>
      </c>
    </row>
    <row r="175" spans="1:36" x14ac:dyDescent="0.35">
      <c r="A175" t="s">
        <v>39</v>
      </c>
      <c r="B175">
        <v>770410</v>
      </c>
      <c r="C175" t="s">
        <v>41</v>
      </c>
      <c r="D175" t="s">
        <v>1972</v>
      </c>
      <c r="E175" t="s">
        <v>1973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</row>
    <row r="176" spans="1:36" x14ac:dyDescent="0.35">
      <c r="A176" t="s">
        <v>39</v>
      </c>
      <c r="B176">
        <v>789181</v>
      </c>
      <c r="C176" t="s">
        <v>41</v>
      </c>
      <c r="D176" t="s">
        <v>1975</v>
      </c>
      <c r="E176" t="s">
        <v>1976</v>
      </c>
      <c r="F176">
        <v>9</v>
      </c>
      <c r="H176">
        <v>230.94</v>
      </c>
      <c r="I176">
        <v>2.96</v>
      </c>
      <c r="K176">
        <v>71.89</v>
      </c>
      <c r="L176">
        <v>2.0405405405405408</v>
      </c>
      <c r="N176">
        <v>2.212407845319238</v>
      </c>
      <c r="O176">
        <v>3</v>
      </c>
      <c r="Q176">
        <v>76.98</v>
      </c>
      <c r="R176">
        <v>3</v>
      </c>
      <c r="T176">
        <v>76.98</v>
      </c>
      <c r="U176">
        <v>27.36486486486487</v>
      </c>
      <c r="W176">
        <v>741.87346779802465</v>
      </c>
      <c r="X176">
        <v>3</v>
      </c>
      <c r="Z176">
        <v>76.98</v>
      </c>
      <c r="AA176">
        <v>7.1879999999999997</v>
      </c>
      <c r="AC176">
        <v>183.22499999999999</v>
      </c>
      <c r="AD176">
        <v>12.51762162162162</v>
      </c>
      <c r="AF176">
        <v>334.0261559326749</v>
      </c>
      <c r="AG176">
        <v>3.1725405405405409</v>
      </c>
      <c r="AI176">
        <v>3.1725405405405409</v>
      </c>
    </row>
    <row r="177" spans="1:36" x14ac:dyDescent="0.35">
      <c r="A177" t="s">
        <v>39</v>
      </c>
      <c r="B177">
        <v>896095</v>
      </c>
      <c r="C177" t="s">
        <v>41</v>
      </c>
      <c r="D177" t="s">
        <v>1984</v>
      </c>
      <c r="E177" t="s">
        <v>1985</v>
      </c>
      <c r="F177">
        <v>0</v>
      </c>
      <c r="G177">
        <v>0</v>
      </c>
      <c r="H177">
        <v>0</v>
      </c>
      <c r="I177">
        <v>0</v>
      </c>
      <c r="J177">
        <v>41.82</v>
      </c>
      <c r="K177">
        <v>1.35</v>
      </c>
      <c r="M177">
        <v>-1</v>
      </c>
      <c r="N177">
        <v>-1</v>
      </c>
      <c r="O177">
        <v>0</v>
      </c>
      <c r="P177">
        <v>0</v>
      </c>
      <c r="Q177">
        <v>0</v>
      </c>
      <c r="R177">
        <v>0</v>
      </c>
      <c r="S177">
        <v>40</v>
      </c>
      <c r="T177">
        <v>1.43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12.545999999999999</v>
      </c>
      <c r="AC177">
        <v>0.40500000000000003</v>
      </c>
      <c r="AD177">
        <v>0</v>
      </c>
      <c r="AE177">
        <v>4.1819999999999986</v>
      </c>
      <c r="AF177">
        <v>0.13500000000000001</v>
      </c>
      <c r="AJ177">
        <v>-0.89544999999999997</v>
      </c>
    </row>
    <row r="178" spans="1:36" x14ac:dyDescent="0.35">
      <c r="A178" t="s">
        <v>39</v>
      </c>
      <c r="B178">
        <v>761734</v>
      </c>
      <c r="C178" t="s">
        <v>41</v>
      </c>
      <c r="D178" t="s">
        <v>1989</v>
      </c>
      <c r="E178" t="s">
        <v>1925</v>
      </c>
      <c r="F178">
        <v>0</v>
      </c>
      <c r="G178">
        <v>0</v>
      </c>
      <c r="H178">
        <v>0</v>
      </c>
      <c r="I178">
        <v>0.13</v>
      </c>
      <c r="J178">
        <v>9.7200000000000006</v>
      </c>
      <c r="K178">
        <v>0.31</v>
      </c>
      <c r="L178">
        <v>-1</v>
      </c>
      <c r="M178">
        <v>-1</v>
      </c>
      <c r="N178">
        <v>-1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3.9E-2</v>
      </c>
      <c r="AB178">
        <v>2.9159999999999999</v>
      </c>
      <c r="AC178">
        <v>9.2999999999999999E-2</v>
      </c>
      <c r="AD178">
        <v>1.2999999999999999E-2</v>
      </c>
      <c r="AE178">
        <v>0.97199999999999998</v>
      </c>
      <c r="AF178">
        <v>3.1E-2</v>
      </c>
    </row>
    <row r="179" spans="1:36" x14ac:dyDescent="0.35">
      <c r="A179" t="s">
        <v>39</v>
      </c>
      <c r="B179">
        <v>757147</v>
      </c>
      <c r="C179" t="s">
        <v>41</v>
      </c>
      <c r="D179" t="s">
        <v>1994</v>
      </c>
      <c r="E179" t="s">
        <v>1995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</row>
    <row r="180" spans="1:36" x14ac:dyDescent="0.35">
      <c r="A180" t="s">
        <v>39</v>
      </c>
      <c r="B180">
        <v>730736</v>
      </c>
      <c r="C180" t="s">
        <v>41</v>
      </c>
      <c r="D180" t="s">
        <v>1999</v>
      </c>
      <c r="E180" t="s">
        <v>2000</v>
      </c>
      <c r="F180">
        <v>0</v>
      </c>
      <c r="G180">
        <v>0</v>
      </c>
      <c r="H180">
        <v>0</v>
      </c>
      <c r="I180">
        <v>0.1</v>
      </c>
      <c r="J180">
        <v>6.18</v>
      </c>
      <c r="K180">
        <v>0.2</v>
      </c>
      <c r="L180">
        <v>-1</v>
      </c>
      <c r="M180">
        <v>-1</v>
      </c>
      <c r="N180">
        <v>-1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0.03</v>
      </c>
      <c r="AB180">
        <v>1.8540000000000001</v>
      </c>
      <c r="AC180">
        <v>0.06</v>
      </c>
      <c r="AD180">
        <v>0.01</v>
      </c>
      <c r="AE180">
        <v>0.61799999999999999</v>
      </c>
      <c r="AF180">
        <v>0.02</v>
      </c>
    </row>
    <row r="181" spans="1:36" x14ac:dyDescent="0.35">
      <c r="A181" t="s">
        <v>39</v>
      </c>
      <c r="B181">
        <v>935941</v>
      </c>
      <c r="C181" t="s">
        <v>72</v>
      </c>
      <c r="D181" t="s">
        <v>2004</v>
      </c>
      <c r="E181" t="s">
        <v>74</v>
      </c>
      <c r="F181">
        <v>34.56</v>
      </c>
      <c r="G181">
        <v>5.34</v>
      </c>
      <c r="H181">
        <v>0.36</v>
      </c>
      <c r="I181">
        <v>34.43</v>
      </c>
      <c r="J181">
        <v>6.52</v>
      </c>
      <c r="K181">
        <v>0.42</v>
      </c>
      <c r="L181">
        <v>3.7757769387163349E-3</v>
      </c>
      <c r="M181">
        <v>-0.18098159509202449</v>
      </c>
      <c r="N181">
        <v>-0.1428571428571429</v>
      </c>
      <c r="O181">
        <v>17.2</v>
      </c>
      <c r="P181">
        <v>2.66</v>
      </c>
      <c r="Q181">
        <v>0.18</v>
      </c>
      <c r="R181">
        <v>17.2</v>
      </c>
      <c r="S181">
        <v>2.66</v>
      </c>
      <c r="T181">
        <v>0.18</v>
      </c>
      <c r="U181">
        <v>34.690490851002039</v>
      </c>
      <c r="V181">
        <v>4.373558282208589</v>
      </c>
      <c r="W181">
        <v>0.30857142857142861</v>
      </c>
      <c r="X181">
        <v>17.2</v>
      </c>
      <c r="Y181">
        <v>2.66</v>
      </c>
      <c r="Z181">
        <v>0.18</v>
      </c>
      <c r="AA181">
        <v>34.521000000000001</v>
      </c>
      <c r="AB181">
        <v>5.6939999999999991</v>
      </c>
      <c r="AC181">
        <v>0.378</v>
      </c>
      <c r="AD181">
        <v>28.803830283667349</v>
      </c>
      <c r="AE181">
        <v>4.2425194274028621</v>
      </c>
      <c r="AF181">
        <v>0.28885714285714292</v>
      </c>
      <c r="AG181">
        <v>0.67464129556205532</v>
      </c>
      <c r="AH181">
        <v>0.5949321155649856</v>
      </c>
      <c r="AI181">
        <v>0.67464129556205532</v>
      </c>
      <c r="AJ181">
        <v>0.5949321155649856</v>
      </c>
    </row>
    <row r="182" spans="1:36" x14ac:dyDescent="0.35">
      <c r="A182" t="s">
        <v>39</v>
      </c>
      <c r="B182">
        <v>940228</v>
      </c>
      <c r="C182" t="s">
        <v>41</v>
      </c>
      <c r="D182" t="s">
        <v>2011</v>
      </c>
      <c r="E182" t="s">
        <v>74</v>
      </c>
      <c r="F182">
        <v>1.45</v>
      </c>
      <c r="G182">
        <v>149.03</v>
      </c>
      <c r="H182">
        <v>5.32</v>
      </c>
      <c r="I182">
        <v>0</v>
      </c>
      <c r="J182">
        <v>0</v>
      </c>
      <c r="K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X182">
        <v>0</v>
      </c>
      <c r="Y182">
        <v>0</v>
      </c>
      <c r="Z182">
        <v>0</v>
      </c>
      <c r="AA182">
        <v>1.0149999999999999</v>
      </c>
      <c r="AB182">
        <v>104.321</v>
      </c>
      <c r="AC182">
        <v>3.7240000000000002</v>
      </c>
      <c r="AD182">
        <v>0.50749999999999984</v>
      </c>
      <c r="AE182">
        <v>52.160499999999999</v>
      </c>
      <c r="AF182">
        <v>1.8620000000000001</v>
      </c>
    </row>
    <row r="183" spans="1:36" x14ac:dyDescent="0.35">
      <c r="A183" t="s">
        <v>39</v>
      </c>
      <c r="B183">
        <v>499182</v>
      </c>
      <c r="C183" t="s">
        <v>72</v>
      </c>
      <c r="D183" t="s">
        <v>2017</v>
      </c>
      <c r="E183" t="s">
        <v>2018</v>
      </c>
      <c r="F183">
        <v>0</v>
      </c>
      <c r="G183">
        <v>0</v>
      </c>
      <c r="H183">
        <v>0</v>
      </c>
      <c r="I183">
        <v>521.35</v>
      </c>
      <c r="J183">
        <v>24.96</v>
      </c>
      <c r="K183">
        <v>3.31</v>
      </c>
      <c r="L183">
        <v>-1</v>
      </c>
      <c r="M183">
        <v>-1</v>
      </c>
      <c r="N183">
        <v>-1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156.405</v>
      </c>
      <c r="AB183">
        <v>7.4880000000000004</v>
      </c>
      <c r="AC183">
        <v>0.99299999999999999</v>
      </c>
      <c r="AD183">
        <v>52.134999999999998</v>
      </c>
      <c r="AE183">
        <v>2.496</v>
      </c>
      <c r="AF183">
        <v>0.33100000000000002</v>
      </c>
    </row>
    <row r="184" spans="1:36" x14ac:dyDescent="0.35">
      <c r="A184" t="s">
        <v>39</v>
      </c>
      <c r="B184">
        <v>822914</v>
      </c>
      <c r="C184" t="s">
        <v>41</v>
      </c>
      <c r="D184" t="s">
        <v>2023</v>
      </c>
      <c r="E184" t="s">
        <v>2023</v>
      </c>
      <c r="F184">
        <v>4.1400000000000006</v>
      </c>
      <c r="G184">
        <v>107.61</v>
      </c>
      <c r="H184">
        <v>3.84</v>
      </c>
      <c r="I184">
        <v>0</v>
      </c>
      <c r="J184">
        <v>0</v>
      </c>
      <c r="K184">
        <v>0</v>
      </c>
      <c r="O184">
        <v>0</v>
      </c>
      <c r="P184">
        <v>0</v>
      </c>
      <c r="Q184">
        <v>0</v>
      </c>
      <c r="R184">
        <v>0.66</v>
      </c>
      <c r="S184">
        <v>17.22</v>
      </c>
      <c r="T184">
        <v>0.62</v>
      </c>
      <c r="X184">
        <v>0</v>
      </c>
      <c r="Y184">
        <v>0</v>
      </c>
      <c r="Z184">
        <v>0</v>
      </c>
      <c r="AA184">
        <v>2.8980000000000001</v>
      </c>
      <c r="AB184">
        <v>75.326999999999998</v>
      </c>
      <c r="AC184">
        <v>2.6880000000000002</v>
      </c>
      <c r="AD184">
        <v>1.4490000000000001</v>
      </c>
      <c r="AE184">
        <v>37.663499999999999</v>
      </c>
      <c r="AF184">
        <v>1.3440000000000001</v>
      </c>
      <c r="AI184">
        <v>1.1954545454545451</v>
      </c>
      <c r="AJ184">
        <v>1.18719512195122</v>
      </c>
    </row>
    <row r="185" spans="1:36" x14ac:dyDescent="0.35">
      <c r="A185" t="s">
        <v>39</v>
      </c>
      <c r="B185">
        <v>822253</v>
      </c>
      <c r="C185" t="s">
        <v>41</v>
      </c>
      <c r="D185" t="s">
        <v>2023</v>
      </c>
      <c r="E185" t="s">
        <v>2023</v>
      </c>
      <c r="F185">
        <v>0</v>
      </c>
      <c r="G185">
        <v>0</v>
      </c>
      <c r="H185">
        <v>0</v>
      </c>
      <c r="I185">
        <v>0.53</v>
      </c>
      <c r="J185">
        <v>9.5399999999999991</v>
      </c>
      <c r="K185">
        <v>0.31</v>
      </c>
      <c r="L185">
        <v>-1</v>
      </c>
      <c r="M185">
        <v>-1</v>
      </c>
      <c r="N185">
        <v>-1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0.159</v>
      </c>
      <c r="AB185">
        <v>2.8620000000000001</v>
      </c>
      <c r="AC185">
        <v>9.2999999999999999E-2</v>
      </c>
      <c r="AD185">
        <v>5.2999999999999999E-2</v>
      </c>
      <c r="AE185">
        <v>0.95399999999999985</v>
      </c>
      <c r="AF185">
        <v>3.1E-2</v>
      </c>
    </row>
    <row r="186" spans="1:36" x14ac:dyDescent="0.35">
      <c r="A186" t="s">
        <v>39</v>
      </c>
      <c r="B186">
        <v>902632</v>
      </c>
      <c r="C186" t="s">
        <v>41</v>
      </c>
      <c r="D186" t="s">
        <v>2033</v>
      </c>
      <c r="E186" t="s">
        <v>1776</v>
      </c>
      <c r="F186">
        <v>0.64</v>
      </c>
      <c r="H186">
        <v>150.68</v>
      </c>
      <c r="I186">
        <v>0</v>
      </c>
      <c r="J186">
        <v>0</v>
      </c>
      <c r="K186">
        <v>0</v>
      </c>
      <c r="O186">
        <v>0.4</v>
      </c>
      <c r="Q186">
        <v>94.18</v>
      </c>
      <c r="R186">
        <v>0.9</v>
      </c>
      <c r="T186">
        <v>211.9</v>
      </c>
      <c r="X186">
        <v>0.4</v>
      </c>
      <c r="Z186">
        <v>94.18</v>
      </c>
      <c r="AA186">
        <v>0.44800000000000001</v>
      </c>
      <c r="AC186">
        <v>105.476</v>
      </c>
      <c r="AD186">
        <v>0.42399999999999999</v>
      </c>
      <c r="AF186">
        <v>99.828000000000003</v>
      </c>
      <c r="AG186">
        <v>5.9999999999999831E-2</v>
      </c>
      <c r="AI186">
        <v>-0.52888888888888896</v>
      </c>
    </row>
    <row r="187" spans="1:36" x14ac:dyDescent="0.35">
      <c r="A187" t="s">
        <v>39</v>
      </c>
      <c r="B187">
        <v>910115</v>
      </c>
      <c r="C187" t="s">
        <v>41</v>
      </c>
      <c r="D187" t="s">
        <v>2042</v>
      </c>
      <c r="E187" t="s">
        <v>2042</v>
      </c>
      <c r="F187">
        <v>0</v>
      </c>
      <c r="G187">
        <v>0</v>
      </c>
      <c r="H187">
        <v>0</v>
      </c>
      <c r="I187">
        <v>0.35</v>
      </c>
      <c r="J187">
        <v>221.2</v>
      </c>
      <c r="K187">
        <v>7.17</v>
      </c>
      <c r="L187">
        <v>-1</v>
      </c>
      <c r="M187">
        <v>-1</v>
      </c>
      <c r="N187">
        <v>-1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0.105</v>
      </c>
      <c r="AB187">
        <v>66.36</v>
      </c>
      <c r="AC187">
        <v>2.1509999999999998</v>
      </c>
      <c r="AD187">
        <v>3.5000000000000003E-2</v>
      </c>
      <c r="AE187">
        <v>22.12</v>
      </c>
      <c r="AF187">
        <v>0.71699999999999997</v>
      </c>
    </row>
    <row r="188" spans="1:36" x14ac:dyDescent="0.35">
      <c r="A188" t="s">
        <v>39</v>
      </c>
      <c r="B188">
        <v>944812</v>
      </c>
      <c r="C188" t="s">
        <v>72</v>
      </c>
      <c r="D188" t="s">
        <v>2047</v>
      </c>
      <c r="E188" t="s">
        <v>692</v>
      </c>
      <c r="F188">
        <v>24.3</v>
      </c>
      <c r="G188">
        <v>9.4499999999999993</v>
      </c>
      <c r="H188">
        <v>0.72</v>
      </c>
      <c r="I188">
        <v>0</v>
      </c>
      <c r="J188">
        <v>0</v>
      </c>
      <c r="K188">
        <v>0</v>
      </c>
      <c r="O188">
        <v>16.2</v>
      </c>
      <c r="P188">
        <v>6.29</v>
      </c>
      <c r="Q188">
        <v>0.47</v>
      </c>
      <c r="R188">
        <v>16.2</v>
      </c>
      <c r="S188">
        <v>6.29</v>
      </c>
      <c r="T188">
        <v>0.47</v>
      </c>
      <c r="X188">
        <v>16.2</v>
      </c>
      <c r="Y188">
        <v>6.29</v>
      </c>
      <c r="Z188">
        <v>0.47</v>
      </c>
      <c r="AA188">
        <v>17.010000000000002</v>
      </c>
      <c r="AB188">
        <v>6.6149999999999993</v>
      </c>
      <c r="AC188">
        <v>0.504</v>
      </c>
      <c r="AD188">
        <v>16.605</v>
      </c>
      <c r="AE188">
        <v>6.4524999999999997</v>
      </c>
      <c r="AF188">
        <v>0.48699999999999999</v>
      </c>
      <c r="AG188">
        <v>2.4999999999999911E-2</v>
      </c>
      <c r="AH188">
        <v>2.5834658187599221E-2</v>
      </c>
      <c r="AI188">
        <v>2.4999999999999911E-2</v>
      </c>
      <c r="AJ188">
        <v>2.5834658187599221E-2</v>
      </c>
    </row>
    <row r="189" spans="1:36" x14ac:dyDescent="0.35">
      <c r="A189" t="s">
        <v>39</v>
      </c>
      <c r="B189">
        <v>944813</v>
      </c>
      <c r="C189" t="s">
        <v>72</v>
      </c>
      <c r="D189" t="s">
        <v>2054</v>
      </c>
      <c r="E189" t="s">
        <v>692</v>
      </c>
      <c r="F189">
        <v>38.700000000000003</v>
      </c>
      <c r="G189">
        <v>50.160000000000011</v>
      </c>
      <c r="H189">
        <v>4.87</v>
      </c>
      <c r="I189">
        <v>0</v>
      </c>
      <c r="J189">
        <v>0</v>
      </c>
      <c r="K189">
        <v>0</v>
      </c>
      <c r="O189">
        <v>8.17</v>
      </c>
      <c r="P189">
        <v>10.6</v>
      </c>
      <c r="Q189">
        <v>1.03</v>
      </c>
      <c r="R189">
        <v>9.84</v>
      </c>
      <c r="S189">
        <v>12.76</v>
      </c>
      <c r="T189">
        <v>1.24</v>
      </c>
      <c r="X189">
        <v>8.17</v>
      </c>
      <c r="Y189">
        <v>10.6</v>
      </c>
      <c r="Z189">
        <v>1.03</v>
      </c>
      <c r="AA189">
        <v>27.09</v>
      </c>
      <c r="AB189">
        <v>35.112000000000002</v>
      </c>
      <c r="AC189">
        <v>3.4089999999999998</v>
      </c>
      <c r="AD189">
        <v>17.63</v>
      </c>
      <c r="AE189">
        <v>22.856000000000002</v>
      </c>
      <c r="AF189">
        <v>2.2195</v>
      </c>
      <c r="AG189">
        <v>1.1578947368421051</v>
      </c>
      <c r="AH189">
        <v>1.15622641509434</v>
      </c>
      <c r="AI189">
        <v>0.79166666666666652</v>
      </c>
      <c r="AJ189">
        <v>0.79122257053291545</v>
      </c>
    </row>
    <row r="190" spans="1:36" x14ac:dyDescent="0.35">
      <c r="A190" t="s">
        <v>39</v>
      </c>
      <c r="B190">
        <v>907345</v>
      </c>
      <c r="C190" t="s">
        <v>72</v>
      </c>
      <c r="D190" t="s">
        <v>2064</v>
      </c>
      <c r="E190" t="s">
        <v>2065</v>
      </c>
      <c r="F190">
        <v>59.16</v>
      </c>
      <c r="G190">
        <v>219.03</v>
      </c>
      <c r="H190">
        <v>7.6499999999999986</v>
      </c>
      <c r="I190">
        <v>9.2200000000000006</v>
      </c>
      <c r="J190">
        <v>42.82</v>
      </c>
      <c r="K190">
        <v>1.39</v>
      </c>
      <c r="L190">
        <v>5.4164859002169186</v>
      </c>
      <c r="M190">
        <v>4.1151331153666506</v>
      </c>
      <c r="N190">
        <v>4.5035971223021587</v>
      </c>
      <c r="O190">
        <v>20</v>
      </c>
      <c r="P190">
        <v>74.06</v>
      </c>
      <c r="Q190">
        <v>2.58</v>
      </c>
      <c r="R190">
        <v>10</v>
      </c>
      <c r="S190">
        <v>37.03</v>
      </c>
      <c r="T190">
        <v>1.29</v>
      </c>
      <c r="U190">
        <v>379.59930585683293</v>
      </c>
      <c r="V190">
        <v>1120.3676062587581</v>
      </c>
      <c r="W190">
        <v>42.102517985611513</v>
      </c>
      <c r="X190">
        <v>20</v>
      </c>
      <c r="Y190">
        <v>74.06</v>
      </c>
      <c r="Z190">
        <v>2.58</v>
      </c>
      <c r="AA190">
        <v>44.17799999999999</v>
      </c>
      <c r="AB190">
        <v>166.167</v>
      </c>
      <c r="AC190">
        <v>5.7719999999999994</v>
      </c>
      <c r="AD190">
        <v>147.92576861894429</v>
      </c>
      <c r="AE190">
        <v>453.53153541958591</v>
      </c>
      <c r="AF190">
        <v>16.818172661870499</v>
      </c>
      <c r="AG190">
        <v>6.3962884309472141</v>
      </c>
      <c r="AH190">
        <v>5.1238392576233576</v>
      </c>
      <c r="AI190">
        <v>13.79257686189443</v>
      </c>
      <c r="AJ190">
        <v>11.24767851524672</v>
      </c>
    </row>
    <row r="191" spans="1:36" x14ac:dyDescent="0.35">
      <c r="A191" t="s">
        <v>39</v>
      </c>
      <c r="B191">
        <v>907348</v>
      </c>
      <c r="C191" t="s">
        <v>72</v>
      </c>
      <c r="D191" t="s">
        <v>2080</v>
      </c>
      <c r="E191" t="s">
        <v>2065</v>
      </c>
      <c r="F191">
        <v>259.07</v>
      </c>
      <c r="G191">
        <v>959.3</v>
      </c>
      <c r="H191">
        <v>33.450000000000003</v>
      </c>
      <c r="I191">
        <v>30.06</v>
      </c>
      <c r="J191">
        <v>139.68</v>
      </c>
      <c r="K191">
        <v>4.53</v>
      </c>
      <c r="L191">
        <v>7.6184298070525616</v>
      </c>
      <c r="M191">
        <v>5.8678407789232523</v>
      </c>
      <c r="N191">
        <v>6.3841059602649004</v>
      </c>
      <c r="O191">
        <v>30</v>
      </c>
      <c r="P191">
        <v>111.08</v>
      </c>
      <c r="Q191">
        <v>3.87</v>
      </c>
      <c r="R191">
        <v>240</v>
      </c>
      <c r="S191">
        <v>888.67</v>
      </c>
      <c r="T191">
        <v>30.99</v>
      </c>
      <c r="U191">
        <v>2232.7766101131069</v>
      </c>
      <c r="V191">
        <v>6588.3196592210752</v>
      </c>
      <c r="W191">
        <v>246.99834437086079</v>
      </c>
      <c r="X191">
        <v>30</v>
      </c>
      <c r="Y191">
        <v>111.08</v>
      </c>
      <c r="Z191">
        <v>3.87</v>
      </c>
      <c r="AA191">
        <v>190.36699999999999</v>
      </c>
      <c r="AB191">
        <v>713.41399999999987</v>
      </c>
      <c r="AC191">
        <v>24.77399999999999</v>
      </c>
      <c r="AD191">
        <v>817.71453670436915</v>
      </c>
      <c r="AE191">
        <v>2470.937886407025</v>
      </c>
      <c r="AF191">
        <v>91.880781456953613</v>
      </c>
      <c r="AG191">
        <v>26.257151223478971</v>
      </c>
      <c r="AH191">
        <v>21.244669485119061</v>
      </c>
      <c r="AI191">
        <v>2.4071439029348709</v>
      </c>
      <c r="AJ191">
        <v>1.7804898178255431</v>
      </c>
    </row>
    <row r="192" spans="1:36" x14ac:dyDescent="0.35">
      <c r="A192" t="s">
        <v>39</v>
      </c>
      <c r="B192">
        <v>907351</v>
      </c>
      <c r="C192" t="s">
        <v>72</v>
      </c>
      <c r="D192" t="s">
        <v>2093</v>
      </c>
      <c r="E192" t="s">
        <v>2094</v>
      </c>
      <c r="F192">
        <v>739.09999999999991</v>
      </c>
      <c r="G192">
        <v>2526.71</v>
      </c>
      <c r="H192">
        <v>88.09</v>
      </c>
      <c r="I192">
        <v>207.54</v>
      </c>
      <c r="J192">
        <v>900.58</v>
      </c>
      <c r="K192">
        <v>29.18</v>
      </c>
      <c r="L192">
        <v>2.5612412065144059</v>
      </c>
      <c r="M192">
        <v>1.805647471629394</v>
      </c>
      <c r="N192">
        <v>2.018848526387937</v>
      </c>
      <c r="O192">
        <v>280</v>
      </c>
      <c r="P192">
        <v>957.22</v>
      </c>
      <c r="Q192">
        <v>33.369999999999997</v>
      </c>
      <c r="R192">
        <v>180</v>
      </c>
      <c r="S192">
        <v>615.36</v>
      </c>
      <c r="T192">
        <v>21.45</v>
      </c>
      <c r="U192">
        <v>2632.113375734798</v>
      </c>
      <c r="V192">
        <v>7089.0575230407067</v>
      </c>
      <c r="W192">
        <v>265.93036668951339</v>
      </c>
      <c r="X192">
        <v>280</v>
      </c>
      <c r="Y192">
        <v>957.22</v>
      </c>
      <c r="Z192">
        <v>33.369999999999997</v>
      </c>
      <c r="AA192">
        <v>579.63199999999983</v>
      </c>
      <c r="AB192">
        <v>2038.8710000000001</v>
      </c>
      <c r="AC192">
        <v>70.417000000000002</v>
      </c>
      <c r="AD192">
        <v>1163.9151252449331</v>
      </c>
      <c r="AE192">
        <v>3361.7161743469019</v>
      </c>
      <c r="AF192">
        <v>123.2391222298378</v>
      </c>
      <c r="AG192">
        <v>3.1568397330176161</v>
      </c>
      <c r="AH192">
        <v>2.511957725859157</v>
      </c>
      <c r="AI192">
        <v>5.4661951402496252</v>
      </c>
      <c r="AJ192">
        <v>4.4630073036058606</v>
      </c>
    </row>
    <row r="193" spans="1:36" x14ac:dyDescent="0.35">
      <c r="A193" t="s">
        <v>39</v>
      </c>
      <c r="B193">
        <v>907352</v>
      </c>
      <c r="C193" t="s">
        <v>72</v>
      </c>
      <c r="D193" t="s">
        <v>2113</v>
      </c>
      <c r="E193" t="s">
        <v>2094</v>
      </c>
      <c r="F193">
        <v>420</v>
      </c>
      <c r="G193">
        <v>1435.83</v>
      </c>
      <c r="H193">
        <v>50.070000000000007</v>
      </c>
      <c r="I193">
        <v>103.86</v>
      </c>
      <c r="J193">
        <v>450.69</v>
      </c>
      <c r="K193">
        <v>14.6</v>
      </c>
      <c r="L193">
        <v>3.0439052570768341</v>
      </c>
      <c r="M193">
        <v>2.1858483658390471</v>
      </c>
      <c r="N193">
        <v>2.4294520547945209</v>
      </c>
      <c r="O193">
        <v>160</v>
      </c>
      <c r="P193">
        <v>546.98</v>
      </c>
      <c r="Q193">
        <v>19.07</v>
      </c>
      <c r="R193">
        <v>120</v>
      </c>
      <c r="S193">
        <v>410.24</v>
      </c>
      <c r="T193">
        <v>14.3</v>
      </c>
      <c r="U193">
        <v>1698.4402079722699</v>
      </c>
      <c r="V193">
        <v>4574.3366591226777</v>
      </c>
      <c r="W193">
        <v>171.7126643835617</v>
      </c>
      <c r="X193">
        <v>160</v>
      </c>
      <c r="Y193">
        <v>546.98</v>
      </c>
      <c r="Z193">
        <v>19.07</v>
      </c>
      <c r="AA193">
        <v>325.15800000000002</v>
      </c>
      <c r="AB193">
        <v>1140.288</v>
      </c>
      <c r="AC193">
        <v>39.429000000000002</v>
      </c>
      <c r="AD193">
        <v>727.86606932409006</v>
      </c>
      <c r="AE193">
        <v>2087.201553040893</v>
      </c>
      <c r="AF193">
        <v>76.737221461187232</v>
      </c>
      <c r="AG193">
        <v>3.549162933275563</v>
      </c>
      <c r="AH193">
        <v>2.81586447958041</v>
      </c>
      <c r="AI193">
        <v>5.0655505777007503</v>
      </c>
      <c r="AJ193">
        <v>4.08775729582901</v>
      </c>
    </row>
    <row r="194" spans="1:36" x14ac:dyDescent="0.35">
      <c r="A194" t="s">
        <v>39</v>
      </c>
      <c r="B194">
        <v>907353</v>
      </c>
      <c r="C194" t="s">
        <v>72</v>
      </c>
      <c r="D194" t="s">
        <v>2123</v>
      </c>
      <c r="E194" t="s">
        <v>2094</v>
      </c>
      <c r="F194">
        <v>12</v>
      </c>
      <c r="G194">
        <v>41.02</v>
      </c>
      <c r="H194">
        <v>1.44</v>
      </c>
      <c r="I194">
        <v>3.94</v>
      </c>
      <c r="J194">
        <v>17.079999999999998</v>
      </c>
      <c r="K194">
        <v>0.55000000000000004</v>
      </c>
      <c r="L194">
        <v>2.045685279187818</v>
      </c>
      <c r="M194">
        <v>1.401639344262295</v>
      </c>
      <c r="N194">
        <v>1.6181818181818179</v>
      </c>
      <c r="O194">
        <v>10</v>
      </c>
      <c r="P194">
        <v>34.19</v>
      </c>
      <c r="Q194">
        <v>1.19</v>
      </c>
      <c r="R194">
        <v>5</v>
      </c>
      <c r="S194">
        <v>17.09</v>
      </c>
      <c r="T194">
        <v>0.6</v>
      </c>
      <c r="U194">
        <v>36.548223350253807</v>
      </c>
      <c r="V194">
        <v>98.515245901639361</v>
      </c>
      <c r="W194">
        <v>3.770181818181817</v>
      </c>
      <c r="X194">
        <v>10</v>
      </c>
      <c r="Y194">
        <v>34.19</v>
      </c>
      <c r="Z194">
        <v>1.19</v>
      </c>
      <c r="AA194">
        <v>9.581999999999999</v>
      </c>
      <c r="AB194">
        <v>33.838000000000001</v>
      </c>
      <c r="AC194">
        <v>1.173</v>
      </c>
      <c r="AD194">
        <v>18.710074450084601</v>
      </c>
      <c r="AE194">
        <v>55.514415300546453</v>
      </c>
      <c r="AF194">
        <v>2.044393939393939</v>
      </c>
      <c r="AG194">
        <v>0.87100744500846017</v>
      </c>
      <c r="AH194">
        <v>0.62370328460211932</v>
      </c>
      <c r="AI194">
        <v>2.7420148900169199</v>
      </c>
      <c r="AJ194">
        <v>2.248356658896808</v>
      </c>
    </row>
    <row r="195" spans="1:36" x14ac:dyDescent="0.35">
      <c r="A195" t="s">
        <v>39</v>
      </c>
      <c r="B195">
        <v>907357</v>
      </c>
      <c r="C195" t="s">
        <v>72</v>
      </c>
      <c r="D195" t="s">
        <v>2131</v>
      </c>
      <c r="E195" t="s">
        <v>2094</v>
      </c>
      <c r="F195">
        <v>34</v>
      </c>
      <c r="G195">
        <v>116.24</v>
      </c>
      <c r="H195">
        <v>4.05</v>
      </c>
      <c r="I195">
        <v>4.99</v>
      </c>
      <c r="J195">
        <v>21.66</v>
      </c>
      <c r="K195">
        <v>0.7</v>
      </c>
      <c r="L195">
        <v>5.8136272545090177</v>
      </c>
      <c r="M195">
        <v>4.3665743305632496</v>
      </c>
      <c r="N195">
        <v>4.7857142857142856</v>
      </c>
      <c r="O195">
        <v>0</v>
      </c>
      <c r="P195">
        <v>0</v>
      </c>
      <c r="Q195">
        <v>0</v>
      </c>
      <c r="R195">
        <v>15</v>
      </c>
      <c r="S195">
        <v>51.28</v>
      </c>
      <c r="T195">
        <v>1.79</v>
      </c>
      <c r="U195">
        <v>231.6633266533066</v>
      </c>
      <c r="V195">
        <v>623.81060018467201</v>
      </c>
      <c r="W195">
        <v>23.43214285714286</v>
      </c>
      <c r="X195">
        <v>0</v>
      </c>
      <c r="Y195">
        <v>0</v>
      </c>
      <c r="Z195">
        <v>0</v>
      </c>
      <c r="AA195">
        <v>25.297000000000001</v>
      </c>
      <c r="AB195">
        <v>87.865999999999985</v>
      </c>
      <c r="AC195">
        <v>3.044999999999999</v>
      </c>
      <c r="AD195">
        <v>85.65344221776887</v>
      </c>
      <c r="AE195">
        <v>237.2255333948907</v>
      </c>
      <c r="AF195">
        <v>8.8257142857142856</v>
      </c>
      <c r="AI195">
        <v>4.7102294811845917</v>
      </c>
      <c r="AJ195">
        <v>3.6260829445181479</v>
      </c>
    </row>
    <row r="196" spans="1:36" x14ac:dyDescent="0.35">
      <c r="A196" t="s">
        <v>39</v>
      </c>
      <c r="B196">
        <v>944814</v>
      </c>
      <c r="C196" t="s">
        <v>72</v>
      </c>
      <c r="D196" t="s">
        <v>2141</v>
      </c>
      <c r="E196" t="s">
        <v>692</v>
      </c>
      <c r="F196">
        <v>141.28</v>
      </c>
      <c r="G196">
        <v>54.94</v>
      </c>
      <c r="H196">
        <v>5.33</v>
      </c>
      <c r="I196">
        <v>0</v>
      </c>
      <c r="J196">
        <v>0</v>
      </c>
      <c r="K196">
        <v>0</v>
      </c>
      <c r="O196">
        <v>41.56</v>
      </c>
      <c r="P196">
        <v>16.16</v>
      </c>
      <c r="Q196">
        <v>1.57</v>
      </c>
      <c r="R196">
        <v>49.76</v>
      </c>
      <c r="S196">
        <v>19.350000000000001</v>
      </c>
      <c r="T196">
        <v>1.88</v>
      </c>
      <c r="X196">
        <v>41.56</v>
      </c>
      <c r="Y196">
        <v>16.16</v>
      </c>
      <c r="Z196">
        <v>1.57</v>
      </c>
      <c r="AA196">
        <v>98.895999999999972</v>
      </c>
      <c r="AB196">
        <v>38.457999999999998</v>
      </c>
      <c r="AC196">
        <v>3.7309999999999999</v>
      </c>
      <c r="AD196">
        <v>70.22799999999998</v>
      </c>
      <c r="AE196">
        <v>27.309000000000001</v>
      </c>
      <c r="AF196">
        <v>2.6505000000000001</v>
      </c>
      <c r="AG196">
        <v>0.68979788257940267</v>
      </c>
      <c r="AH196">
        <v>0.68991336633663347</v>
      </c>
      <c r="AI196">
        <v>0.4113344051446941</v>
      </c>
      <c r="AJ196">
        <v>0.41131782945736411</v>
      </c>
    </row>
    <row r="197" spans="1:36" x14ac:dyDescent="0.35">
      <c r="A197" t="s">
        <v>39</v>
      </c>
      <c r="B197">
        <v>885527</v>
      </c>
      <c r="C197" t="s">
        <v>72</v>
      </c>
      <c r="D197" t="s">
        <v>2152</v>
      </c>
      <c r="E197" t="s">
        <v>215</v>
      </c>
      <c r="F197">
        <v>112.31</v>
      </c>
      <c r="G197">
        <v>310.7</v>
      </c>
      <c r="H197">
        <v>7.49</v>
      </c>
      <c r="I197">
        <v>44.94</v>
      </c>
      <c r="J197">
        <v>142.32</v>
      </c>
      <c r="K197">
        <v>2.7</v>
      </c>
      <c r="L197">
        <v>1.499109924343569</v>
      </c>
      <c r="M197">
        <v>1.183108487914559</v>
      </c>
      <c r="N197">
        <v>1.7740740740740739</v>
      </c>
      <c r="O197">
        <v>22.6</v>
      </c>
      <c r="P197">
        <v>62.53</v>
      </c>
      <c r="Q197">
        <v>1.51</v>
      </c>
      <c r="R197">
        <v>22.6</v>
      </c>
      <c r="S197">
        <v>62.53</v>
      </c>
      <c r="T197">
        <v>1.51</v>
      </c>
      <c r="U197">
        <v>280.67503560302629</v>
      </c>
      <c r="V197">
        <v>678.29180719505337</v>
      </c>
      <c r="W197">
        <v>20.777814814814821</v>
      </c>
      <c r="X197">
        <v>22.6</v>
      </c>
      <c r="Y197">
        <v>62.53</v>
      </c>
      <c r="Z197">
        <v>1.51</v>
      </c>
      <c r="AA197">
        <v>92.09899999999999</v>
      </c>
      <c r="AB197">
        <v>260.18599999999998</v>
      </c>
      <c r="AC197">
        <v>6.052999999999999</v>
      </c>
      <c r="AD197">
        <v>131.7913452010088</v>
      </c>
      <c r="AE197">
        <v>333.66926906501777</v>
      </c>
      <c r="AF197">
        <v>9.4469382716049406</v>
      </c>
      <c r="AG197">
        <v>4.8314754513720688</v>
      </c>
      <c r="AH197">
        <v>4.336146954502123</v>
      </c>
      <c r="AI197">
        <v>4.8314754513720688</v>
      </c>
      <c r="AJ197">
        <v>4.336146954502123</v>
      </c>
    </row>
    <row r="198" spans="1:36" x14ac:dyDescent="0.35">
      <c r="A198" t="s">
        <v>39</v>
      </c>
      <c r="B198">
        <v>919259</v>
      </c>
      <c r="C198" t="s">
        <v>72</v>
      </c>
      <c r="D198" t="s">
        <v>2162</v>
      </c>
      <c r="E198" t="s">
        <v>245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</row>
    <row r="199" spans="1:36" x14ac:dyDescent="0.35">
      <c r="A199" t="s">
        <v>39</v>
      </c>
      <c r="B199">
        <v>919942</v>
      </c>
      <c r="C199" t="s">
        <v>41</v>
      </c>
      <c r="D199" t="s">
        <v>2164</v>
      </c>
      <c r="E199" t="s">
        <v>2165</v>
      </c>
      <c r="F199">
        <v>0</v>
      </c>
      <c r="G199">
        <v>0</v>
      </c>
      <c r="H199">
        <v>0</v>
      </c>
      <c r="I199">
        <v>0.36</v>
      </c>
      <c r="J199">
        <v>612</v>
      </c>
      <c r="K199">
        <v>19.829999999999998</v>
      </c>
      <c r="L199">
        <v>-1</v>
      </c>
      <c r="M199">
        <v>-1</v>
      </c>
      <c r="N199">
        <v>-1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0.108</v>
      </c>
      <c r="AB199">
        <v>183.6</v>
      </c>
      <c r="AC199">
        <v>5.948999999999999</v>
      </c>
      <c r="AD199">
        <v>3.5999999999999997E-2</v>
      </c>
      <c r="AE199">
        <v>61.2</v>
      </c>
      <c r="AF199">
        <v>1.9830000000000001</v>
      </c>
    </row>
    <row r="200" spans="1:36" x14ac:dyDescent="0.35">
      <c r="A200" t="s">
        <v>39</v>
      </c>
      <c r="B200">
        <v>915036</v>
      </c>
      <c r="C200" t="s">
        <v>41</v>
      </c>
      <c r="D200" t="s">
        <v>2172</v>
      </c>
      <c r="E200" t="s">
        <v>74</v>
      </c>
      <c r="F200">
        <v>5.59</v>
      </c>
      <c r="G200">
        <v>574.53</v>
      </c>
      <c r="H200">
        <v>20.54</v>
      </c>
      <c r="I200">
        <v>0.28000000000000003</v>
      </c>
      <c r="J200">
        <v>30.09</v>
      </c>
      <c r="K200">
        <v>0.97</v>
      </c>
      <c r="L200">
        <v>18.964285714285712</v>
      </c>
      <c r="M200">
        <v>18.093718843469588</v>
      </c>
      <c r="N200">
        <v>20.175257731958759</v>
      </c>
      <c r="O200">
        <v>16.29</v>
      </c>
      <c r="Q200">
        <v>59.85</v>
      </c>
      <c r="R200">
        <v>0</v>
      </c>
      <c r="S200">
        <v>0</v>
      </c>
      <c r="T200">
        <v>0</v>
      </c>
      <c r="U200">
        <v>111.60035714285711</v>
      </c>
      <c r="V200">
        <v>10969.914287138579</v>
      </c>
      <c r="W200">
        <v>434.93979381443302</v>
      </c>
      <c r="X200">
        <v>16.29</v>
      </c>
      <c r="Y200">
        <v>10969.914287138579</v>
      </c>
      <c r="Z200">
        <v>59.85</v>
      </c>
      <c r="AA200">
        <v>3.9969999999999999</v>
      </c>
      <c r="AB200">
        <v>411.19799999999992</v>
      </c>
      <c r="AC200">
        <v>14.669</v>
      </c>
      <c r="AD200">
        <v>43.962452380952378</v>
      </c>
      <c r="AE200">
        <v>7450.3421914257233</v>
      </c>
      <c r="AF200">
        <v>169.81959793814431</v>
      </c>
      <c r="AG200">
        <v>1.698738636031454</v>
      </c>
    </row>
    <row r="201" spans="1:36" x14ac:dyDescent="0.35">
      <c r="A201" t="s">
        <v>39</v>
      </c>
      <c r="B201">
        <v>915056</v>
      </c>
      <c r="C201" t="s">
        <v>41</v>
      </c>
      <c r="D201" t="s">
        <v>2186</v>
      </c>
      <c r="E201" t="s">
        <v>1743</v>
      </c>
      <c r="F201">
        <v>9</v>
      </c>
      <c r="G201">
        <v>892.19999999999993</v>
      </c>
      <c r="H201">
        <v>31.92</v>
      </c>
      <c r="I201">
        <v>0</v>
      </c>
      <c r="J201">
        <v>0</v>
      </c>
      <c r="K201">
        <v>0</v>
      </c>
      <c r="O201">
        <v>0</v>
      </c>
      <c r="P201">
        <v>0</v>
      </c>
      <c r="Q201">
        <v>0</v>
      </c>
      <c r="R201">
        <v>35</v>
      </c>
      <c r="T201">
        <v>124.13</v>
      </c>
      <c r="X201">
        <v>0</v>
      </c>
      <c r="Y201">
        <v>0</v>
      </c>
      <c r="Z201">
        <v>0</v>
      </c>
      <c r="AA201">
        <v>6.3</v>
      </c>
      <c r="AB201">
        <v>624.54</v>
      </c>
      <c r="AC201">
        <v>22.344000000000001</v>
      </c>
      <c r="AD201">
        <v>3.15</v>
      </c>
      <c r="AE201">
        <v>312.27</v>
      </c>
      <c r="AF201">
        <v>11.172000000000001</v>
      </c>
      <c r="AI201">
        <v>-0.91</v>
      </c>
    </row>
    <row r="202" spans="1:36" x14ac:dyDescent="0.35">
      <c r="A202" t="s">
        <v>39</v>
      </c>
      <c r="B202">
        <v>915201</v>
      </c>
      <c r="C202" t="s">
        <v>41</v>
      </c>
      <c r="D202" t="s">
        <v>2193</v>
      </c>
      <c r="E202" t="s">
        <v>2194</v>
      </c>
      <c r="F202">
        <v>10.49</v>
      </c>
      <c r="G202">
        <v>1706.73</v>
      </c>
      <c r="H202">
        <v>61.09</v>
      </c>
      <c r="I202">
        <v>0</v>
      </c>
      <c r="J202">
        <v>0</v>
      </c>
      <c r="K202">
        <v>0</v>
      </c>
      <c r="O202">
        <v>3</v>
      </c>
      <c r="P202">
        <v>487.01</v>
      </c>
      <c r="Q202">
        <v>17.43</v>
      </c>
      <c r="R202">
        <v>0</v>
      </c>
      <c r="S202">
        <v>0</v>
      </c>
      <c r="T202">
        <v>0</v>
      </c>
      <c r="X202">
        <v>3</v>
      </c>
      <c r="Y202">
        <v>487.01</v>
      </c>
      <c r="Z202">
        <v>17.43</v>
      </c>
      <c r="AA202">
        <v>7.343</v>
      </c>
      <c r="AB202">
        <v>1194.711</v>
      </c>
      <c r="AC202">
        <v>42.762999999999998</v>
      </c>
      <c r="AD202">
        <v>5.1715</v>
      </c>
      <c r="AE202">
        <v>840.8605</v>
      </c>
      <c r="AF202">
        <v>30.096499999999999</v>
      </c>
      <c r="AG202">
        <v>0.72383333333333333</v>
      </c>
      <c r="AH202">
        <v>0.72657748300856251</v>
      </c>
    </row>
    <row r="203" spans="1:36" x14ac:dyDescent="0.35">
      <c r="A203" t="s">
        <v>39</v>
      </c>
      <c r="B203">
        <v>915200</v>
      </c>
      <c r="C203" t="s">
        <v>41</v>
      </c>
      <c r="D203" t="s">
        <v>2203</v>
      </c>
      <c r="E203" t="s">
        <v>1743</v>
      </c>
      <c r="F203">
        <v>3.33</v>
      </c>
      <c r="G203">
        <v>330.11</v>
      </c>
      <c r="H203">
        <v>11.81</v>
      </c>
      <c r="I203">
        <v>0</v>
      </c>
      <c r="J203">
        <v>0</v>
      </c>
      <c r="K203">
        <v>0</v>
      </c>
      <c r="O203">
        <v>0</v>
      </c>
      <c r="P203">
        <v>0</v>
      </c>
      <c r="Q203">
        <v>0</v>
      </c>
      <c r="R203">
        <v>35</v>
      </c>
      <c r="T203">
        <v>124.13</v>
      </c>
      <c r="X203">
        <v>0</v>
      </c>
      <c r="Y203">
        <v>0</v>
      </c>
      <c r="Z203">
        <v>0</v>
      </c>
      <c r="AA203">
        <v>2.331</v>
      </c>
      <c r="AB203">
        <v>231.077</v>
      </c>
      <c r="AC203">
        <v>8.2669999999999995</v>
      </c>
      <c r="AD203">
        <v>1.1655</v>
      </c>
      <c r="AE203">
        <v>115.5385</v>
      </c>
      <c r="AF203">
        <v>4.1334999999999997</v>
      </c>
      <c r="AI203">
        <v>-0.9667</v>
      </c>
    </row>
    <row r="204" spans="1:36" x14ac:dyDescent="0.35">
      <c r="A204" t="s">
        <v>39</v>
      </c>
      <c r="B204">
        <v>915040</v>
      </c>
      <c r="C204" t="s">
        <v>41</v>
      </c>
      <c r="D204" t="s">
        <v>2208</v>
      </c>
      <c r="E204" t="s">
        <v>74</v>
      </c>
      <c r="F204">
        <v>0</v>
      </c>
      <c r="G204">
        <v>0</v>
      </c>
      <c r="H204">
        <v>0</v>
      </c>
      <c r="I204">
        <v>0.13</v>
      </c>
      <c r="J204">
        <v>13.43</v>
      </c>
      <c r="K204">
        <v>0.27</v>
      </c>
      <c r="L204">
        <v>-1</v>
      </c>
      <c r="M204">
        <v>-1</v>
      </c>
      <c r="N204">
        <v>-1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3.9E-2</v>
      </c>
      <c r="AB204">
        <v>4.0289999999999999</v>
      </c>
      <c r="AC204">
        <v>8.1000000000000003E-2</v>
      </c>
      <c r="AD204">
        <v>1.2999999999999999E-2</v>
      </c>
      <c r="AE204">
        <v>1.343</v>
      </c>
      <c r="AF204">
        <v>2.7E-2</v>
      </c>
    </row>
    <row r="205" spans="1:36" x14ac:dyDescent="0.35">
      <c r="A205" t="s">
        <v>39</v>
      </c>
      <c r="B205">
        <v>940227</v>
      </c>
      <c r="C205" t="s">
        <v>41</v>
      </c>
      <c r="D205" t="s">
        <v>2212</v>
      </c>
      <c r="E205" t="s">
        <v>74</v>
      </c>
      <c r="F205">
        <v>0.06</v>
      </c>
      <c r="G205">
        <v>6.48</v>
      </c>
      <c r="H205">
        <v>0.23</v>
      </c>
      <c r="I205">
        <v>0.57999999999999996</v>
      </c>
      <c r="J205">
        <v>62.33</v>
      </c>
      <c r="K205">
        <v>2.02</v>
      </c>
      <c r="L205">
        <v>-0.89655172413793105</v>
      </c>
      <c r="M205">
        <v>-0.89603722124177765</v>
      </c>
      <c r="N205">
        <v>-0.88613861386138615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6.2068965517241368E-3</v>
      </c>
      <c r="V205">
        <v>0.67367880635328092</v>
      </c>
      <c r="W205">
        <v>2.6188118811881191E-2</v>
      </c>
      <c r="X205">
        <v>0</v>
      </c>
      <c r="Y205">
        <v>0</v>
      </c>
      <c r="Z205">
        <v>0</v>
      </c>
      <c r="AA205">
        <v>0.216</v>
      </c>
      <c r="AB205">
        <v>23.234999999999999</v>
      </c>
      <c r="AC205">
        <v>0.76700000000000002</v>
      </c>
      <c r="AD205">
        <v>7.4068965517241361E-2</v>
      </c>
      <c r="AE205">
        <v>7.9695596021177586</v>
      </c>
      <c r="AF205">
        <v>0.26439603960396041</v>
      </c>
    </row>
    <row r="206" spans="1:36" x14ac:dyDescent="0.35">
      <c r="A206" t="s">
        <v>39</v>
      </c>
      <c r="B206">
        <v>935334</v>
      </c>
      <c r="C206" t="s">
        <v>41</v>
      </c>
      <c r="D206" t="s">
        <v>2218</v>
      </c>
      <c r="E206" t="s">
        <v>116</v>
      </c>
      <c r="F206">
        <v>40.5</v>
      </c>
      <c r="G206">
        <v>140.94</v>
      </c>
      <c r="H206">
        <v>5.13</v>
      </c>
      <c r="I206">
        <v>4.5</v>
      </c>
      <c r="J206">
        <v>18.41</v>
      </c>
      <c r="K206">
        <v>0.6</v>
      </c>
      <c r="L206">
        <v>8</v>
      </c>
      <c r="M206">
        <v>6.6556219445953282</v>
      </c>
      <c r="N206">
        <v>7.5500000000000007</v>
      </c>
      <c r="O206">
        <v>13.5</v>
      </c>
      <c r="P206">
        <v>46.98</v>
      </c>
      <c r="Q206">
        <v>1.71</v>
      </c>
      <c r="R206">
        <v>18</v>
      </c>
      <c r="S206">
        <v>62.64</v>
      </c>
      <c r="T206">
        <v>2.2799999999999998</v>
      </c>
      <c r="U206">
        <v>364.5</v>
      </c>
      <c r="V206">
        <v>1078.9833568712661</v>
      </c>
      <c r="W206">
        <v>43.861499999999999</v>
      </c>
      <c r="X206">
        <v>13.5</v>
      </c>
      <c r="Y206">
        <v>46.98</v>
      </c>
      <c r="Z206">
        <v>1.71</v>
      </c>
      <c r="AA206">
        <v>29.7</v>
      </c>
      <c r="AB206">
        <v>104.181</v>
      </c>
      <c r="AC206">
        <v>3.7709999999999999</v>
      </c>
      <c r="AD206">
        <v>135.9</v>
      </c>
      <c r="AE206">
        <v>410.04811895708849</v>
      </c>
      <c r="AF206">
        <v>16.447500000000002</v>
      </c>
      <c r="AG206">
        <v>9.0666666666666664</v>
      </c>
      <c r="AH206">
        <v>7.7281421659661262</v>
      </c>
      <c r="AI206">
        <v>6.5500000000000007</v>
      </c>
      <c r="AJ206">
        <v>5.5461066244745938</v>
      </c>
    </row>
    <row r="207" spans="1:36" x14ac:dyDescent="0.35">
      <c r="A207" t="s">
        <v>39</v>
      </c>
      <c r="B207">
        <v>934281</v>
      </c>
      <c r="C207" t="s">
        <v>41</v>
      </c>
      <c r="D207" t="s">
        <v>2227</v>
      </c>
      <c r="E207" t="s">
        <v>2228</v>
      </c>
      <c r="F207">
        <v>1.95</v>
      </c>
      <c r="G207">
        <v>2340</v>
      </c>
      <c r="H207">
        <v>83.699999999999989</v>
      </c>
      <c r="I207">
        <v>0.2</v>
      </c>
      <c r="J207">
        <v>240</v>
      </c>
      <c r="K207">
        <v>7.78</v>
      </c>
      <c r="L207">
        <v>8.75</v>
      </c>
      <c r="M207">
        <v>8.75</v>
      </c>
      <c r="N207">
        <v>9.75835475578406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19.012499999999999</v>
      </c>
      <c r="V207">
        <v>22815</v>
      </c>
      <c r="W207">
        <v>900.47429305912567</v>
      </c>
      <c r="X207">
        <v>0</v>
      </c>
      <c r="Y207">
        <v>0</v>
      </c>
      <c r="Z207">
        <v>0</v>
      </c>
      <c r="AA207">
        <v>1.425</v>
      </c>
      <c r="AB207">
        <v>1710</v>
      </c>
      <c r="AC207">
        <v>60.923999999999992</v>
      </c>
      <c r="AD207">
        <v>6.8125000000000009</v>
      </c>
      <c r="AE207">
        <v>8175</v>
      </c>
      <c r="AF207">
        <v>320.46609768637518</v>
      </c>
    </row>
  </sheetData>
  <pageMargins left="0.75" right="0.75" top="1" bottom="1" header="0.5" footer="0.5"/>
  <headerFooter>
    <oddHeader>&amp;C&amp;"Aptos"&amp;10&amp;K4A569E Internal&amp;1#_x000D_&amp;"Calibri"&amp;11&amp;K000000&amp;"Calibri"&amp;11&amp;K000000&amp;"Aptos"&amp;1 &amp;K4A569E Internal#_x000D_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207"/>
  <sheetViews>
    <sheetView topLeftCell="A13" workbookViewId="0"/>
  </sheetViews>
  <sheetFormatPr baseColWidth="10" defaultColWidth="8.7265625" defaultRowHeight="14.5" x14ac:dyDescent="0.35"/>
  <sheetData>
    <row r="1" spans="1:32" x14ac:dyDescent="0.35">
      <c r="A1" t="s">
        <v>0</v>
      </c>
      <c r="B1" t="s">
        <v>1</v>
      </c>
      <c r="C1" t="s">
        <v>3</v>
      </c>
      <c r="D1" t="s">
        <v>4</v>
      </c>
      <c r="E1" t="s">
        <v>2234</v>
      </c>
      <c r="F1" t="s">
        <v>2294</v>
      </c>
      <c r="G1" t="s">
        <v>2295</v>
      </c>
      <c r="H1" t="s">
        <v>2296</v>
      </c>
      <c r="I1" t="s">
        <v>2297</v>
      </c>
      <c r="J1" t="s">
        <v>2298</v>
      </c>
      <c r="K1" t="s">
        <v>2299</v>
      </c>
      <c r="L1" t="s">
        <v>2300</v>
      </c>
      <c r="M1" t="s">
        <v>2301</v>
      </c>
      <c r="N1" t="s">
        <v>2302</v>
      </c>
      <c r="O1" t="s">
        <v>2303</v>
      </c>
      <c r="P1" t="s">
        <v>2304</v>
      </c>
      <c r="Q1" t="s">
        <v>2305</v>
      </c>
      <c r="R1" t="s">
        <v>2306</v>
      </c>
      <c r="S1" t="s">
        <v>2307</v>
      </c>
      <c r="T1" t="s">
        <v>2308</v>
      </c>
      <c r="U1" t="s">
        <v>2309</v>
      </c>
      <c r="V1" t="s">
        <v>2310</v>
      </c>
      <c r="W1" t="s">
        <v>2311</v>
      </c>
      <c r="X1" t="s">
        <v>2312</v>
      </c>
      <c r="Y1" t="s">
        <v>2313</v>
      </c>
      <c r="Z1" t="s">
        <v>2314</v>
      </c>
      <c r="AA1" t="s">
        <v>2315</v>
      </c>
      <c r="AB1" t="s">
        <v>2316</v>
      </c>
      <c r="AC1" t="s">
        <v>2317</v>
      </c>
      <c r="AD1" t="s">
        <v>2318</v>
      </c>
      <c r="AE1" t="s">
        <v>2319</v>
      </c>
      <c r="AF1" t="s">
        <v>2320</v>
      </c>
    </row>
    <row r="2" spans="1:32" x14ac:dyDescent="0.35">
      <c r="A2" t="s">
        <v>39</v>
      </c>
      <c r="B2">
        <v>936342</v>
      </c>
      <c r="C2" t="s">
        <v>41</v>
      </c>
      <c r="D2" t="s">
        <v>42</v>
      </c>
      <c r="E2" t="s">
        <v>43</v>
      </c>
      <c r="F2">
        <v>0</v>
      </c>
      <c r="G2">
        <v>1.28</v>
      </c>
      <c r="H2">
        <v>1.28</v>
      </c>
      <c r="I2">
        <v>1.28</v>
      </c>
      <c r="J2">
        <v>3.84</v>
      </c>
      <c r="K2">
        <v>3.84</v>
      </c>
      <c r="N2">
        <v>0</v>
      </c>
      <c r="O2">
        <v>98.66</v>
      </c>
      <c r="P2">
        <v>98.66</v>
      </c>
      <c r="Q2">
        <v>98.66</v>
      </c>
      <c r="R2">
        <v>295.98</v>
      </c>
      <c r="S2">
        <v>295.98</v>
      </c>
      <c r="V2">
        <v>0</v>
      </c>
      <c r="W2">
        <v>3.53</v>
      </c>
      <c r="X2">
        <v>3.53</v>
      </c>
      <c r="Y2">
        <v>3.53</v>
      </c>
      <c r="Z2">
        <v>10.59</v>
      </c>
      <c r="AA2">
        <v>10.59</v>
      </c>
      <c r="AD2" t="s">
        <v>2321</v>
      </c>
      <c r="AE2" t="s">
        <v>2321</v>
      </c>
      <c r="AF2" t="s">
        <v>2321</v>
      </c>
    </row>
    <row r="3" spans="1:32" x14ac:dyDescent="0.35">
      <c r="A3" t="s">
        <v>39</v>
      </c>
      <c r="B3">
        <v>915052</v>
      </c>
      <c r="C3" t="s">
        <v>41</v>
      </c>
      <c r="D3" t="s">
        <v>60</v>
      </c>
      <c r="E3" t="s">
        <v>61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N3">
        <v>0</v>
      </c>
      <c r="O3">
        <v>0</v>
      </c>
      <c r="P3">
        <v>4.59</v>
      </c>
      <c r="Q3">
        <v>4.59</v>
      </c>
      <c r="R3">
        <v>9.18</v>
      </c>
      <c r="S3">
        <v>9.18</v>
      </c>
      <c r="V3">
        <v>0</v>
      </c>
      <c r="W3">
        <v>0</v>
      </c>
      <c r="X3">
        <v>0.16</v>
      </c>
      <c r="Y3">
        <v>0.16</v>
      </c>
      <c r="Z3">
        <v>0.32</v>
      </c>
      <c r="AA3">
        <v>0.32</v>
      </c>
      <c r="AD3" t="s">
        <v>2321</v>
      </c>
      <c r="AE3" t="s">
        <v>2321</v>
      </c>
      <c r="AF3" t="s">
        <v>2321</v>
      </c>
    </row>
    <row r="4" spans="1:32" x14ac:dyDescent="0.35">
      <c r="A4" t="s">
        <v>39</v>
      </c>
      <c r="B4">
        <v>626742</v>
      </c>
      <c r="C4" t="s">
        <v>72</v>
      </c>
      <c r="D4" t="s">
        <v>73</v>
      </c>
      <c r="E4" t="s">
        <v>74</v>
      </c>
      <c r="N4">
        <v>495.11</v>
      </c>
      <c r="O4">
        <v>452.21</v>
      </c>
      <c r="P4">
        <v>480.07</v>
      </c>
      <c r="Q4">
        <v>468.98</v>
      </c>
      <c r="R4">
        <v>1401.26</v>
      </c>
      <c r="S4">
        <v>906.15</v>
      </c>
      <c r="T4">
        <v>1.8301993496394739</v>
      </c>
      <c r="U4">
        <v>183.01993496394741</v>
      </c>
      <c r="V4">
        <v>37.96</v>
      </c>
      <c r="W4">
        <v>34.67</v>
      </c>
      <c r="X4">
        <v>36.81</v>
      </c>
      <c r="Y4">
        <v>35.96</v>
      </c>
      <c r="Z4">
        <v>107.44</v>
      </c>
      <c r="AA4">
        <v>69.47999999999999</v>
      </c>
      <c r="AB4">
        <v>1.830347734457324</v>
      </c>
      <c r="AC4">
        <v>183.03477344573241</v>
      </c>
      <c r="AD4" t="s">
        <v>2321</v>
      </c>
      <c r="AE4" t="s">
        <v>2322</v>
      </c>
      <c r="AF4" t="s">
        <v>2322</v>
      </c>
    </row>
    <row r="5" spans="1:32" x14ac:dyDescent="0.35">
      <c r="A5" t="s">
        <v>39</v>
      </c>
      <c r="B5">
        <v>769647</v>
      </c>
      <c r="C5" t="s">
        <v>72</v>
      </c>
      <c r="D5" t="s">
        <v>107</v>
      </c>
      <c r="E5" t="s">
        <v>74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 t="s">
        <v>2321</v>
      </c>
      <c r="AE5" t="s">
        <v>2321</v>
      </c>
      <c r="AF5" t="s">
        <v>2321</v>
      </c>
    </row>
    <row r="6" spans="1:32" x14ac:dyDescent="0.35">
      <c r="A6" t="s">
        <v>39</v>
      </c>
      <c r="B6">
        <v>645275</v>
      </c>
      <c r="C6" t="s">
        <v>72</v>
      </c>
      <c r="D6" t="s">
        <v>115</v>
      </c>
      <c r="E6" t="s">
        <v>116</v>
      </c>
      <c r="N6">
        <v>193.91</v>
      </c>
      <c r="O6">
        <v>243.97</v>
      </c>
      <c r="P6">
        <v>270.04000000000002</v>
      </c>
      <c r="Q6">
        <v>249.14</v>
      </c>
      <c r="R6">
        <v>763.15</v>
      </c>
      <c r="S6">
        <v>569.24</v>
      </c>
      <c r="T6">
        <v>2.935588675158578</v>
      </c>
      <c r="U6">
        <v>293.55886751585791</v>
      </c>
      <c r="V6">
        <v>7.44</v>
      </c>
      <c r="W6">
        <v>9.36</v>
      </c>
      <c r="X6">
        <v>10.36</v>
      </c>
      <c r="Y6">
        <v>9.56</v>
      </c>
      <c r="Z6">
        <v>29.28</v>
      </c>
      <c r="AA6">
        <v>21.84</v>
      </c>
      <c r="AB6">
        <v>2.935483870967742</v>
      </c>
      <c r="AC6">
        <v>293.54838709677421</v>
      </c>
      <c r="AD6" t="s">
        <v>2321</v>
      </c>
      <c r="AE6" t="s">
        <v>2322</v>
      </c>
      <c r="AF6" t="s">
        <v>2322</v>
      </c>
    </row>
    <row r="7" spans="1:32" x14ac:dyDescent="0.35">
      <c r="A7" t="s">
        <v>39</v>
      </c>
      <c r="B7">
        <v>645276</v>
      </c>
      <c r="C7" t="s">
        <v>72</v>
      </c>
      <c r="D7" t="s">
        <v>138</v>
      </c>
      <c r="E7" t="s">
        <v>116</v>
      </c>
      <c r="N7">
        <v>344.43</v>
      </c>
      <c r="O7">
        <v>463.13</v>
      </c>
      <c r="P7">
        <v>517.58000000000004</v>
      </c>
      <c r="Q7">
        <v>466.92</v>
      </c>
      <c r="R7">
        <v>1447.63</v>
      </c>
      <c r="S7">
        <v>1103.2</v>
      </c>
      <c r="T7">
        <v>3.2029730279011699</v>
      </c>
      <c r="U7">
        <v>320.29730279011699</v>
      </c>
      <c r="V7">
        <v>14.29</v>
      </c>
      <c r="W7">
        <v>19.21</v>
      </c>
      <c r="X7">
        <v>21.47</v>
      </c>
      <c r="Y7">
        <v>19.37</v>
      </c>
      <c r="Z7">
        <v>60.05</v>
      </c>
      <c r="AA7">
        <v>45.76</v>
      </c>
      <c r="AB7">
        <v>3.2022393282015389</v>
      </c>
      <c r="AC7">
        <v>320.22393282015389</v>
      </c>
      <c r="AD7" t="s">
        <v>2321</v>
      </c>
      <c r="AE7" t="s">
        <v>2322</v>
      </c>
      <c r="AF7" t="s">
        <v>2322</v>
      </c>
    </row>
    <row r="8" spans="1:32" x14ac:dyDescent="0.35">
      <c r="A8" t="s">
        <v>39</v>
      </c>
      <c r="B8">
        <v>729219</v>
      </c>
      <c r="C8" t="s">
        <v>72</v>
      </c>
      <c r="D8" t="s">
        <v>159</v>
      </c>
      <c r="E8" t="s">
        <v>160</v>
      </c>
      <c r="F8">
        <v>80</v>
      </c>
      <c r="G8">
        <v>20</v>
      </c>
      <c r="H8">
        <v>0</v>
      </c>
      <c r="I8">
        <v>0</v>
      </c>
      <c r="J8">
        <v>20</v>
      </c>
      <c r="K8">
        <v>-60</v>
      </c>
      <c r="L8">
        <v>-0.75</v>
      </c>
      <c r="M8">
        <v>75</v>
      </c>
      <c r="N8">
        <v>138.26</v>
      </c>
      <c r="O8">
        <v>34.57</v>
      </c>
      <c r="P8">
        <v>0</v>
      </c>
      <c r="Q8">
        <v>0</v>
      </c>
      <c r="R8">
        <v>34.57</v>
      </c>
      <c r="S8">
        <v>-103.69</v>
      </c>
      <c r="T8">
        <v>-0.74996383625054241</v>
      </c>
      <c r="U8">
        <v>74.996383625054236</v>
      </c>
      <c r="V8">
        <v>4.82</v>
      </c>
      <c r="W8">
        <v>1.21</v>
      </c>
      <c r="X8">
        <v>0</v>
      </c>
      <c r="Y8">
        <v>0</v>
      </c>
      <c r="Z8">
        <v>1.21</v>
      </c>
      <c r="AA8">
        <v>-3.61</v>
      </c>
      <c r="AB8">
        <v>-0.74896265560165975</v>
      </c>
      <c r="AC8">
        <v>74.896265560165972</v>
      </c>
      <c r="AD8" t="s">
        <v>2322</v>
      </c>
      <c r="AE8" t="s">
        <v>2322</v>
      </c>
      <c r="AF8" t="s">
        <v>2322</v>
      </c>
    </row>
    <row r="9" spans="1:32" x14ac:dyDescent="0.35">
      <c r="A9" t="s">
        <v>39</v>
      </c>
      <c r="B9">
        <v>728957</v>
      </c>
      <c r="C9" t="s">
        <v>72</v>
      </c>
      <c r="D9" t="s">
        <v>177</v>
      </c>
      <c r="E9" t="s">
        <v>160</v>
      </c>
      <c r="F9">
        <v>20</v>
      </c>
      <c r="G9">
        <v>10</v>
      </c>
      <c r="H9">
        <v>0</v>
      </c>
      <c r="I9">
        <v>0</v>
      </c>
      <c r="J9">
        <v>10</v>
      </c>
      <c r="K9">
        <v>-10</v>
      </c>
      <c r="L9">
        <v>-0.5</v>
      </c>
      <c r="M9">
        <v>50</v>
      </c>
      <c r="N9">
        <v>23.28</v>
      </c>
      <c r="O9">
        <v>11.64</v>
      </c>
      <c r="P9">
        <v>0</v>
      </c>
      <c r="Q9">
        <v>0</v>
      </c>
      <c r="R9">
        <v>11.64</v>
      </c>
      <c r="S9">
        <v>-11.64</v>
      </c>
      <c r="T9">
        <v>-0.5</v>
      </c>
      <c r="U9">
        <v>50</v>
      </c>
      <c r="V9">
        <v>0.81</v>
      </c>
      <c r="W9">
        <v>0.41</v>
      </c>
      <c r="X9">
        <v>0</v>
      </c>
      <c r="Y9">
        <v>0</v>
      </c>
      <c r="Z9">
        <v>0.41</v>
      </c>
      <c r="AA9">
        <v>-0.40000000000000008</v>
      </c>
      <c r="AB9">
        <v>-0.49382716049382719</v>
      </c>
      <c r="AC9">
        <v>49.382716049382722</v>
      </c>
      <c r="AD9" t="s">
        <v>2322</v>
      </c>
      <c r="AE9" t="s">
        <v>2322</v>
      </c>
      <c r="AF9" t="s">
        <v>2322</v>
      </c>
    </row>
    <row r="10" spans="1:32" x14ac:dyDescent="0.35">
      <c r="A10" t="s">
        <v>39</v>
      </c>
      <c r="B10">
        <v>509021</v>
      </c>
      <c r="C10" t="s">
        <v>72</v>
      </c>
      <c r="D10" t="s">
        <v>186</v>
      </c>
      <c r="E10" t="s">
        <v>187</v>
      </c>
      <c r="F10">
        <v>500</v>
      </c>
      <c r="G10">
        <v>850</v>
      </c>
      <c r="H10">
        <v>697.75</v>
      </c>
      <c r="I10">
        <v>797.75</v>
      </c>
      <c r="J10">
        <v>2345.5</v>
      </c>
      <c r="K10">
        <v>1845.5</v>
      </c>
      <c r="L10">
        <v>3.6909999999999998</v>
      </c>
      <c r="M10">
        <v>369.1</v>
      </c>
      <c r="N10">
        <v>54.67</v>
      </c>
      <c r="O10">
        <v>92.94</v>
      </c>
      <c r="P10">
        <v>76.290000000000006</v>
      </c>
      <c r="Q10">
        <v>87.23</v>
      </c>
      <c r="R10">
        <v>256.45999999999998</v>
      </c>
      <c r="S10">
        <v>201.79</v>
      </c>
      <c r="T10">
        <v>3.6910554234497899</v>
      </c>
      <c r="U10">
        <v>369.10554234497903</v>
      </c>
      <c r="V10">
        <v>1.93</v>
      </c>
      <c r="W10">
        <v>3.27</v>
      </c>
      <c r="X10">
        <v>2.69</v>
      </c>
      <c r="Y10">
        <v>3.07</v>
      </c>
      <c r="Z10">
        <v>9.0299999999999994</v>
      </c>
      <c r="AA10">
        <v>7.1</v>
      </c>
      <c r="AB10">
        <v>3.678756476683938</v>
      </c>
      <c r="AC10">
        <v>367.87564766839381</v>
      </c>
      <c r="AD10" t="s">
        <v>2322</v>
      </c>
      <c r="AE10" t="s">
        <v>2322</v>
      </c>
      <c r="AF10" t="s">
        <v>2322</v>
      </c>
    </row>
    <row r="11" spans="1:32" x14ac:dyDescent="0.35">
      <c r="A11" t="s">
        <v>39</v>
      </c>
      <c r="B11">
        <v>746949</v>
      </c>
      <c r="C11" t="s">
        <v>72</v>
      </c>
      <c r="D11" t="s">
        <v>214</v>
      </c>
      <c r="E11" t="s">
        <v>215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 t="s">
        <v>2321</v>
      </c>
      <c r="AE11" t="s">
        <v>2321</v>
      </c>
      <c r="AF11" t="s">
        <v>2321</v>
      </c>
    </row>
    <row r="12" spans="1:32" x14ac:dyDescent="0.35">
      <c r="A12" t="s">
        <v>39</v>
      </c>
      <c r="B12">
        <v>650851</v>
      </c>
      <c r="C12" t="s">
        <v>72</v>
      </c>
      <c r="D12" t="s">
        <v>220</v>
      </c>
      <c r="E12" t="s">
        <v>221</v>
      </c>
      <c r="F12">
        <v>200</v>
      </c>
      <c r="G12">
        <v>100</v>
      </c>
      <c r="H12">
        <v>95.31</v>
      </c>
      <c r="I12">
        <v>95.31</v>
      </c>
      <c r="J12">
        <v>290.62</v>
      </c>
      <c r="K12">
        <v>90.62</v>
      </c>
      <c r="L12">
        <v>0.45310000000000011</v>
      </c>
      <c r="M12">
        <v>45.31</v>
      </c>
      <c r="N12">
        <v>16.96</v>
      </c>
      <c r="O12">
        <v>8.48</v>
      </c>
      <c r="P12">
        <v>8.08</v>
      </c>
      <c r="Q12">
        <v>8.08</v>
      </c>
      <c r="R12">
        <v>24.64</v>
      </c>
      <c r="S12">
        <v>7.68</v>
      </c>
      <c r="T12">
        <v>0.45283018867924518</v>
      </c>
      <c r="U12">
        <v>45.283018867924518</v>
      </c>
      <c r="V12">
        <v>0.59</v>
      </c>
      <c r="W12">
        <v>0.3</v>
      </c>
      <c r="X12">
        <v>0.28000000000000003</v>
      </c>
      <c r="Y12">
        <v>0.28000000000000003</v>
      </c>
      <c r="Z12">
        <v>0.8600000000000001</v>
      </c>
      <c r="AA12">
        <v>0.27000000000000007</v>
      </c>
      <c r="AB12">
        <v>0.45762711864406808</v>
      </c>
      <c r="AC12">
        <v>45.76271186440681</v>
      </c>
      <c r="AD12" t="s">
        <v>2322</v>
      </c>
      <c r="AE12" t="s">
        <v>2322</v>
      </c>
      <c r="AF12" t="s">
        <v>2322</v>
      </c>
    </row>
    <row r="13" spans="1:32" x14ac:dyDescent="0.35">
      <c r="A13" t="s">
        <v>39</v>
      </c>
      <c r="B13">
        <v>555832</v>
      </c>
      <c r="C13" t="s">
        <v>72</v>
      </c>
      <c r="D13" t="s">
        <v>233</v>
      </c>
      <c r="E13" t="s">
        <v>221</v>
      </c>
      <c r="F13">
        <v>200</v>
      </c>
      <c r="G13">
        <v>100</v>
      </c>
      <c r="H13">
        <v>0</v>
      </c>
      <c r="I13">
        <v>94.4</v>
      </c>
      <c r="J13">
        <v>194.4</v>
      </c>
      <c r="K13">
        <v>-5.5999999999999943</v>
      </c>
      <c r="L13">
        <v>-2.8000000000000021E-2</v>
      </c>
      <c r="M13">
        <v>2.800000000000002</v>
      </c>
      <c r="N13">
        <v>15.37</v>
      </c>
      <c r="O13">
        <v>7.68</v>
      </c>
      <c r="P13">
        <v>0</v>
      </c>
      <c r="Q13">
        <v>7.25</v>
      </c>
      <c r="R13">
        <v>14.93</v>
      </c>
      <c r="S13">
        <v>-0.4399999999999995</v>
      </c>
      <c r="T13">
        <v>-2.8627195836044231E-2</v>
      </c>
      <c r="U13">
        <v>2.8627195836044228</v>
      </c>
      <c r="V13">
        <v>0.54</v>
      </c>
      <c r="W13">
        <v>0.27</v>
      </c>
      <c r="X13">
        <v>0</v>
      </c>
      <c r="Y13">
        <v>0.25</v>
      </c>
      <c r="Z13">
        <v>0.52</v>
      </c>
      <c r="AA13">
        <v>-2.0000000000000021E-2</v>
      </c>
      <c r="AB13">
        <v>-3.703703703703709E-2</v>
      </c>
      <c r="AC13">
        <v>3.703703703703709</v>
      </c>
      <c r="AD13" t="s">
        <v>2323</v>
      </c>
      <c r="AE13" t="s">
        <v>2323</v>
      </c>
      <c r="AF13" t="s">
        <v>2323</v>
      </c>
    </row>
    <row r="14" spans="1:32" x14ac:dyDescent="0.35">
      <c r="A14" t="s">
        <v>39</v>
      </c>
      <c r="B14">
        <v>769833</v>
      </c>
      <c r="C14" t="s">
        <v>72</v>
      </c>
      <c r="D14" t="s">
        <v>244</v>
      </c>
      <c r="E14" t="s">
        <v>245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D14" t="s">
        <v>2321</v>
      </c>
      <c r="AE14" t="s">
        <v>2321</v>
      </c>
      <c r="AF14" t="s">
        <v>2321</v>
      </c>
    </row>
    <row r="15" spans="1:32" x14ac:dyDescent="0.35">
      <c r="A15" t="s">
        <v>39</v>
      </c>
      <c r="B15">
        <v>769657</v>
      </c>
      <c r="C15" t="s">
        <v>72</v>
      </c>
      <c r="D15" t="s">
        <v>250</v>
      </c>
      <c r="E15" t="s">
        <v>74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D15" t="s">
        <v>2321</v>
      </c>
      <c r="AE15" t="s">
        <v>2321</v>
      </c>
      <c r="AF15" t="s">
        <v>2321</v>
      </c>
    </row>
    <row r="16" spans="1:32" x14ac:dyDescent="0.35">
      <c r="A16" t="s">
        <v>39</v>
      </c>
      <c r="B16">
        <v>769665</v>
      </c>
      <c r="C16" t="s">
        <v>72</v>
      </c>
      <c r="D16" t="s">
        <v>255</v>
      </c>
      <c r="E16" t="s">
        <v>256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D16" t="s">
        <v>2321</v>
      </c>
      <c r="AE16" t="s">
        <v>2321</v>
      </c>
      <c r="AF16" t="s">
        <v>2321</v>
      </c>
    </row>
    <row r="17" spans="1:32" x14ac:dyDescent="0.35">
      <c r="A17" t="s">
        <v>39</v>
      </c>
      <c r="B17">
        <v>956758</v>
      </c>
      <c r="C17" t="s">
        <v>41</v>
      </c>
      <c r="D17" t="s">
        <v>261</v>
      </c>
      <c r="E17" t="s">
        <v>262</v>
      </c>
      <c r="F17">
        <v>0</v>
      </c>
      <c r="G17">
        <v>0</v>
      </c>
      <c r="H17">
        <v>1.65</v>
      </c>
      <c r="I17">
        <v>1.65</v>
      </c>
      <c r="J17">
        <v>3.3</v>
      </c>
      <c r="K17">
        <v>3.3</v>
      </c>
      <c r="N17">
        <v>0</v>
      </c>
      <c r="O17">
        <v>0</v>
      </c>
      <c r="P17">
        <v>247.5</v>
      </c>
      <c r="Q17">
        <v>247.5</v>
      </c>
      <c r="R17">
        <v>495</v>
      </c>
      <c r="S17">
        <v>495</v>
      </c>
      <c r="V17">
        <v>0</v>
      </c>
      <c r="W17">
        <v>0</v>
      </c>
      <c r="X17">
        <v>8.86</v>
      </c>
      <c r="Y17">
        <v>8.86</v>
      </c>
      <c r="Z17">
        <v>17.72</v>
      </c>
      <c r="AA17">
        <v>17.72</v>
      </c>
      <c r="AD17" t="s">
        <v>2321</v>
      </c>
      <c r="AE17" t="s">
        <v>2321</v>
      </c>
      <c r="AF17" t="s">
        <v>2321</v>
      </c>
    </row>
    <row r="18" spans="1:32" x14ac:dyDescent="0.35">
      <c r="A18" t="s">
        <v>39</v>
      </c>
      <c r="B18">
        <v>769832</v>
      </c>
      <c r="C18" t="s">
        <v>72</v>
      </c>
      <c r="D18" t="s">
        <v>269</v>
      </c>
      <c r="E18" t="s">
        <v>215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D18" t="s">
        <v>2321</v>
      </c>
      <c r="AE18" t="s">
        <v>2321</v>
      </c>
      <c r="AF18" t="s">
        <v>2321</v>
      </c>
    </row>
    <row r="19" spans="1:32" x14ac:dyDescent="0.35">
      <c r="A19" t="s">
        <v>39</v>
      </c>
      <c r="B19">
        <v>769704</v>
      </c>
      <c r="C19" t="s">
        <v>72</v>
      </c>
      <c r="D19" t="s">
        <v>274</v>
      </c>
      <c r="E19" t="s">
        <v>74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D19" t="s">
        <v>2321</v>
      </c>
      <c r="AE19" t="s">
        <v>2321</v>
      </c>
      <c r="AF19" t="s">
        <v>2321</v>
      </c>
    </row>
    <row r="20" spans="1:32" x14ac:dyDescent="0.35">
      <c r="A20" t="s">
        <v>39</v>
      </c>
      <c r="B20">
        <v>933327</v>
      </c>
      <c r="C20" t="s">
        <v>72</v>
      </c>
      <c r="D20" t="s">
        <v>280</v>
      </c>
      <c r="E20" t="s">
        <v>281</v>
      </c>
      <c r="N20">
        <v>679.86</v>
      </c>
      <c r="P20">
        <v>702.08</v>
      </c>
      <c r="Q20">
        <v>702.08</v>
      </c>
      <c r="V20">
        <v>24.36</v>
      </c>
      <c r="W20">
        <v>43.57</v>
      </c>
      <c r="X20">
        <v>25.15</v>
      </c>
      <c r="Y20">
        <v>25.15</v>
      </c>
      <c r="Z20">
        <v>93.87</v>
      </c>
      <c r="AA20">
        <v>69.510000000000005</v>
      </c>
      <c r="AB20">
        <v>2.853448275862069</v>
      </c>
      <c r="AC20">
        <v>285.34482758620692</v>
      </c>
      <c r="AD20" t="s">
        <v>2321</v>
      </c>
      <c r="AE20" t="s">
        <v>2321</v>
      </c>
      <c r="AF20" t="s">
        <v>2322</v>
      </c>
    </row>
    <row r="21" spans="1:32" x14ac:dyDescent="0.35">
      <c r="A21" t="s">
        <v>39</v>
      </c>
      <c r="B21">
        <v>533316</v>
      </c>
      <c r="C21" t="s">
        <v>72</v>
      </c>
      <c r="D21" t="s">
        <v>306</v>
      </c>
      <c r="E21" t="s">
        <v>281</v>
      </c>
      <c r="F21">
        <v>93.33</v>
      </c>
      <c r="G21">
        <v>93.33</v>
      </c>
      <c r="H21">
        <v>91.4</v>
      </c>
      <c r="I21">
        <v>91.4</v>
      </c>
      <c r="J21">
        <v>276.13</v>
      </c>
      <c r="K21">
        <v>182.8</v>
      </c>
      <c r="L21">
        <v>1.9586413800492879</v>
      </c>
      <c r="M21">
        <v>195.8641380049288</v>
      </c>
      <c r="N21">
        <v>25.38</v>
      </c>
      <c r="O21">
        <v>25.38</v>
      </c>
      <c r="P21">
        <v>24.86</v>
      </c>
      <c r="Q21">
        <v>24.86</v>
      </c>
      <c r="R21">
        <v>75.099999999999994</v>
      </c>
      <c r="S21">
        <v>49.72</v>
      </c>
      <c r="T21">
        <v>1.9590228526398741</v>
      </c>
      <c r="U21">
        <v>195.90228526398741</v>
      </c>
      <c r="V21">
        <v>0.91</v>
      </c>
      <c r="W21">
        <v>0.91</v>
      </c>
      <c r="X21">
        <v>0.89</v>
      </c>
      <c r="Y21">
        <v>0.89</v>
      </c>
      <c r="Z21">
        <v>2.69</v>
      </c>
      <c r="AA21">
        <v>1.78</v>
      </c>
      <c r="AB21">
        <v>1.956043956043956</v>
      </c>
      <c r="AC21">
        <v>195.60439560439559</v>
      </c>
      <c r="AD21" t="s">
        <v>2322</v>
      </c>
      <c r="AE21" t="s">
        <v>2322</v>
      </c>
      <c r="AF21" t="s">
        <v>2322</v>
      </c>
    </row>
    <row r="22" spans="1:32" x14ac:dyDescent="0.35">
      <c r="A22" t="s">
        <v>39</v>
      </c>
      <c r="B22">
        <v>533319</v>
      </c>
      <c r="C22" t="s">
        <v>72</v>
      </c>
      <c r="D22" t="s">
        <v>316</v>
      </c>
      <c r="E22" t="s">
        <v>281</v>
      </c>
      <c r="F22">
        <v>140</v>
      </c>
      <c r="G22">
        <v>115.89</v>
      </c>
      <c r="H22">
        <v>115</v>
      </c>
      <c r="I22">
        <v>115</v>
      </c>
      <c r="J22">
        <v>345.89</v>
      </c>
      <c r="K22">
        <v>205.89</v>
      </c>
      <c r="L22">
        <v>1.4706428571428569</v>
      </c>
      <c r="M22">
        <v>147.06428571428569</v>
      </c>
      <c r="N22">
        <v>67.89</v>
      </c>
      <c r="O22">
        <v>56.2</v>
      </c>
      <c r="P22">
        <v>55.76</v>
      </c>
      <c r="Q22">
        <v>55.76</v>
      </c>
      <c r="R22">
        <v>167.72</v>
      </c>
      <c r="S22">
        <v>99.83</v>
      </c>
      <c r="T22">
        <v>1.4704669318014441</v>
      </c>
      <c r="U22">
        <v>147.04669318014439</v>
      </c>
      <c r="V22">
        <v>2.4300000000000002</v>
      </c>
      <c r="W22">
        <v>2.0099999999999998</v>
      </c>
      <c r="X22">
        <v>2</v>
      </c>
      <c r="Y22">
        <v>2</v>
      </c>
      <c r="Z22">
        <v>6.01</v>
      </c>
      <c r="AA22">
        <v>3.58</v>
      </c>
      <c r="AB22">
        <v>1.4732510288065841</v>
      </c>
      <c r="AC22">
        <v>147.32510288065839</v>
      </c>
      <c r="AD22" t="s">
        <v>2322</v>
      </c>
      <c r="AE22" t="s">
        <v>2322</v>
      </c>
      <c r="AF22" t="s">
        <v>2322</v>
      </c>
    </row>
    <row r="23" spans="1:32" x14ac:dyDescent="0.35">
      <c r="A23" t="s">
        <v>39</v>
      </c>
      <c r="B23">
        <v>718307</v>
      </c>
      <c r="C23" t="s">
        <v>72</v>
      </c>
      <c r="D23" t="s">
        <v>332</v>
      </c>
      <c r="E23" t="s">
        <v>281</v>
      </c>
      <c r="F23">
        <v>60</v>
      </c>
      <c r="G23">
        <v>30</v>
      </c>
      <c r="H23">
        <v>30</v>
      </c>
      <c r="I23">
        <v>30</v>
      </c>
      <c r="J23">
        <v>90</v>
      </c>
      <c r="K23">
        <v>30</v>
      </c>
      <c r="L23">
        <v>0.5</v>
      </c>
      <c r="M23">
        <v>50</v>
      </c>
      <c r="N23">
        <v>21.24</v>
      </c>
      <c r="O23">
        <v>10.62</v>
      </c>
      <c r="P23">
        <v>10.62</v>
      </c>
      <c r="Q23">
        <v>10.62</v>
      </c>
      <c r="R23">
        <v>31.86</v>
      </c>
      <c r="S23">
        <v>10.62</v>
      </c>
      <c r="T23">
        <v>0.5</v>
      </c>
      <c r="U23">
        <v>50</v>
      </c>
      <c r="V23">
        <v>0.76</v>
      </c>
      <c r="W23">
        <v>0.38</v>
      </c>
      <c r="X23">
        <v>0.38</v>
      </c>
      <c r="Y23">
        <v>0.38</v>
      </c>
      <c r="Z23">
        <v>1.1399999999999999</v>
      </c>
      <c r="AA23">
        <v>0.38000000000000012</v>
      </c>
      <c r="AB23">
        <v>0.50000000000000022</v>
      </c>
      <c r="AC23">
        <v>50.000000000000021</v>
      </c>
      <c r="AD23" t="s">
        <v>2322</v>
      </c>
      <c r="AE23" t="s">
        <v>2322</v>
      </c>
      <c r="AF23" t="s">
        <v>2322</v>
      </c>
    </row>
    <row r="24" spans="1:32" x14ac:dyDescent="0.35">
      <c r="A24" t="s">
        <v>39</v>
      </c>
      <c r="B24">
        <v>718331</v>
      </c>
      <c r="C24" t="s">
        <v>72</v>
      </c>
      <c r="D24" t="s">
        <v>342</v>
      </c>
      <c r="E24" t="s">
        <v>281</v>
      </c>
      <c r="F24">
        <v>120</v>
      </c>
      <c r="G24">
        <v>98.72</v>
      </c>
      <c r="H24">
        <v>98.16</v>
      </c>
      <c r="I24">
        <v>98.16</v>
      </c>
      <c r="J24">
        <v>295.04000000000002</v>
      </c>
      <c r="K24">
        <v>175.04</v>
      </c>
      <c r="L24">
        <v>1.4586666666666659</v>
      </c>
      <c r="M24">
        <v>145.86666666666659</v>
      </c>
      <c r="N24">
        <v>62.04</v>
      </c>
      <c r="O24">
        <v>51.04</v>
      </c>
      <c r="P24">
        <v>50.75</v>
      </c>
      <c r="Q24">
        <v>50.75</v>
      </c>
      <c r="R24">
        <v>152.54</v>
      </c>
      <c r="S24">
        <v>90.5</v>
      </c>
      <c r="T24">
        <v>1.4587362991618309</v>
      </c>
      <c r="U24">
        <v>145.87362991618309</v>
      </c>
      <c r="V24">
        <v>2.2200000000000002</v>
      </c>
      <c r="W24">
        <v>1.83</v>
      </c>
      <c r="X24">
        <v>1.82</v>
      </c>
      <c r="Y24">
        <v>1.82</v>
      </c>
      <c r="Z24">
        <v>5.4700000000000006</v>
      </c>
      <c r="AA24">
        <v>3.25</v>
      </c>
      <c r="AB24">
        <v>1.4639639639639641</v>
      </c>
      <c r="AC24">
        <v>146.3963963963964</v>
      </c>
      <c r="AD24" t="s">
        <v>2322</v>
      </c>
      <c r="AE24" t="s">
        <v>2322</v>
      </c>
      <c r="AF24" t="s">
        <v>2322</v>
      </c>
    </row>
    <row r="25" spans="1:32" x14ac:dyDescent="0.35">
      <c r="A25" t="s">
        <v>39</v>
      </c>
      <c r="B25">
        <v>475652</v>
      </c>
      <c r="C25" t="s">
        <v>72</v>
      </c>
      <c r="D25" t="s">
        <v>357</v>
      </c>
      <c r="E25" t="s">
        <v>358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D25" t="s">
        <v>2321</v>
      </c>
      <c r="AE25" t="s">
        <v>2321</v>
      </c>
      <c r="AF25" t="s">
        <v>2321</v>
      </c>
    </row>
    <row r="26" spans="1:32" x14ac:dyDescent="0.35">
      <c r="A26" t="s">
        <v>39</v>
      </c>
      <c r="B26">
        <v>475862</v>
      </c>
      <c r="C26" t="s">
        <v>72</v>
      </c>
      <c r="D26" t="s">
        <v>363</v>
      </c>
      <c r="E26" t="s">
        <v>358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D26" t="s">
        <v>2321</v>
      </c>
      <c r="AE26" t="s">
        <v>2321</v>
      </c>
      <c r="AF26" t="s">
        <v>2321</v>
      </c>
    </row>
    <row r="27" spans="1:32" x14ac:dyDescent="0.35">
      <c r="A27" t="s">
        <v>39</v>
      </c>
      <c r="B27">
        <v>476517</v>
      </c>
      <c r="C27" t="s">
        <v>72</v>
      </c>
      <c r="D27" t="s">
        <v>366</v>
      </c>
      <c r="E27" t="s">
        <v>358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D27" t="s">
        <v>2321</v>
      </c>
      <c r="AE27" t="s">
        <v>2321</v>
      </c>
      <c r="AF27" t="s">
        <v>2321</v>
      </c>
    </row>
    <row r="28" spans="1:32" x14ac:dyDescent="0.35">
      <c r="A28" t="s">
        <v>39</v>
      </c>
      <c r="B28">
        <v>476515</v>
      </c>
      <c r="C28" t="s">
        <v>72</v>
      </c>
      <c r="D28" t="s">
        <v>369</v>
      </c>
      <c r="E28" t="s">
        <v>358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D28" t="s">
        <v>2321</v>
      </c>
      <c r="AE28" t="s">
        <v>2321</v>
      </c>
      <c r="AF28" t="s">
        <v>2321</v>
      </c>
    </row>
    <row r="29" spans="1:32" x14ac:dyDescent="0.35">
      <c r="A29" t="s">
        <v>39</v>
      </c>
      <c r="B29">
        <v>475982</v>
      </c>
      <c r="C29" t="s">
        <v>72</v>
      </c>
      <c r="D29" t="s">
        <v>371</v>
      </c>
      <c r="E29" t="s">
        <v>372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D29" t="s">
        <v>2321</v>
      </c>
      <c r="AE29" t="s">
        <v>2321</v>
      </c>
      <c r="AF29" t="s">
        <v>2321</v>
      </c>
    </row>
    <row r="30" spans="1:32" x14ac:dyDescent="0.35">
      <c r="A30" t="s">
        <v>39</v>
      </c>
      <c r="B30">
        <v>475871</v>
      </c>
      <c r="C30" t="s">
        <v>72</v>
      </c>
      <c r="D30" t="s">
        <v>376</v>
      </c>
      <c r="E30" t="s">
        <v>372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D30" t="s">
        <v>2321</v>
      </c>
      <c r="AE30" t="s">
        <v>2321</v>
      </c>
      <c r="AF30" t="s">
        <v>2321</v>
      </c>
    </row>
    <row r="31" spans="1:32" x14ac:dyDescent="0.35">
      <c r="A31" t="s">
        <v>39</v>
      </c>
      <c r="B31">
        <v>475875</v>
      </c>
      <c r="C31" t="s">
        <v>72</v>
      </c>
      <c r="D31" t="s">
        <v>379</v>
      </c>
      <c r="E31" t="s">
        <v>372</v>
      </c>
      <c r="F31">
        <v>43.2</v>
      </c>
      <c r="G31">
        <v>47.94</v>
      </c>
      <c r="H31">
        <v>45.26</v>
      </c>
      <c r="I31">
        <v>41.66</v>
      </c>
      <c r="J31">
        <v>134.86000000000001</v>
      </c>
      <c r="K31">
        <v>91.659999999999982</v>
      </c>
      <c r="L31">
        <v>2.1217592592592589</v>
      </c>
      <c r="M31">
        <v>212.1759259259259</v>
      </c>
      <c r="N31">
        <v>635.33000000000004</v>
      </c>
      <c r="O31">
        <v>704.99</v>
      </c>
      <c r="P31">
        <v>665.67</v>
      </c>
      <c r="Q31">
        <v>612.72</v>
      </c>
      <c r="R31">
        <v>1983.38</v>
      </c>
      <c r="S31">
        <v>1348.05</v>
      </c>
      <c r="T31">
        <v>2.1218107125430881</v>
      </c>
      <c r="U31">
        <v>212.18107125430879</v>
      </c>
      <c r="V31">
        <v>15.26</v>
      </c>
      <c r="W31">
        <v>16.940000000000001</v>
      </c>
      <c r="X31">
        <v>15.99</v>
      </c>
      <c r="Y31">
        <v>14.72</v>
      </c>
      <c r="Z31">
        <v>47.65</v>
      </c>
      <c r="AA31">
        <v>32.39</v>
      </c>
      <c r="AB31">
        <v>2.122542595019659</v>
      </c>
      <c r="AC31">
        <v>212.25425950196589</v>
      </c>
      <c r="AD31" t="s">
        <v>2322</v>
      </c>
      <c r="AE31" t="s">
        <v>2322</v>
      </c>
      <c r="AF31" t="s">
        <v>2322</v>
      </c>
    </row>
    <row r="32" spans="1:32" x14ac:dyDescent="0.35">
      <c r="A32" t="s">
        <v>39</v>
      </c>
      <c r="B32">
        <v>475280</v>
      </c>
      <c r="C32" t="s">
        <v>72</v>
      </c>
      <c r="D32" t="s">
        <v>396</v>
      </c>
      <c r="E32" t="s">
        <v>397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D32" t="s">
        <v>2321</v>
      </c>
      <c r="AE32" t="s">
        <v>2321</v>
      </c>
      <c r="AF32" t="s">
        <v>2321</v>
      </c>
    </row>
    <row r="33" spans="1:32" x14ac:dyDescent="0.35">
      <c r="A33" t="s">
        <v>39</v>
      </c>
      <c r="B33">
        <v>475987</v>
      </c>
      <c r="C33" t="s">
        <v>72</v>
      </c>
      <c r="D33" t="s">
        <v>399</v>
      </c>
      <c r="E33" t="s">
        <v>397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D33" t="s">
        <v>2321</v>
      </c>
      <c r="AE33" t="s">
        <v>2321</v>
      </c>
      <c r="AF33" t="s">
        <v>2321</v>
      </c>
    </row>
    <row r="34" spans="1:32" x14ac:dyDescent="0.35">
      <c r="A34" t="s">
        <v>39</v>
      </c>
      <c r="B34">
        <v>475281</v>
      </c>
      <c r="C34" t="s">
        <v>72</v>
      </c>
      <c r="D34" t="s">
        <v>401</v>
      </c>
      <c r="E34" t="s">
        <v>397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D34" t="s">
        <v>2321</v>
      </c>
      <c r="AE34" t="s">
        <v>2321</v>
      </c>
      <c r="AF34" t="s">
        <v>2321</v>
      </c>
    </row>
    <row r="35" spans="1:32" x14ac:dyDescent="0.35">
      <c r="A35" t="s">
        <v>39</v>
      </c>
      <c r="B35">
        <v>475988</v>
      </c>
      <c r="C35" t="s">
        <v>72</v>
      </c>
      <c r="D35" t="s">
        <v>403</v>
      </c>
      <c r="E35" t="s">
        <v>397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D35" t="s">
        <v>2321</v>
      </c>
      <c r="AE35" t="s">
        <v>2321</v>
      </c>
      <c r="AF35" t="s">
        <v>2321</v>
      </c>
    </row>
    <row r="36" spans="1:32" x14ac:dyDescent="0.35">
      <c r="A36" t="s">
        <v>39</v>
      </c>
      <c r="B36">
        <v>476043</v>
      </c>
      <c r="C36" t="s">
        <v>72</v>
      </c>
      <c r="D36" t="s">
        <v>405</v>
      </c>
      <c r="E36" t="s">
        <v>372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D36" t="s">
        <v>2321</v>
      </c>
      <c r="AE36" t="s">
        <v>2321</v>
      </c>
      <c r="AF36" t="s">
        <v>2321</v>
      </c>
    </row>
    <row r="37" spans="1:32" x14ac:dyDescent="0.35">
      <c r="A37" t="s">
        <v>39</v>
      </c>
      <c r="B37">
        <v>476956</v>
      </c>
      <c r="C37" t="s">
        <v>72</v>
      </c>
      <c r="D37" t="s">
        <v>407</v>
      </c>
      <c r="E37" t="s">
        <v>372</v>
      </c>
      <c r="F37">
        <v>937.5</v>
      </c>
      <c r="G37">
        <v>800</v>
      </c>
      <c r="H37">
        <v>919.65</v>
      </c>
      <c r="I37">
        <v>919.65</v>
      </c>
      <c r="J37">
        <v>2639.3</v>
      </c>
      <c r="K37">
        <v>1701.8</v>
      </c>
      <c r="L37">
        <v>1.8152533333333341</v>
      </c>
      <c r="M37">
        <v>181.52533333333341</v>
      </c>
      <c r="V37">
        <v>37.5</v>
      </c>
      <c r="W37">
        <v>32</v>
      </c>
      <c r="X37">
        <v>36.79</v>
      </c>
      <c r="Y37">
        <v>36.79</v>
      </c>
      <c r="Z37">
        <v>105.58</v>
      </c>
      <c r="AA37">
        <v>68.079999999999984</v>
      </c>
      <c r="AB37">
        <v>1.8154666666666659</v>
      </c>
      <c r="AC37">
        <v>181.5466666666666</v>
      </c>
      <c r="AD37" t="s">
        <v>2322</v>
      </c>
      <c r="AE37" t="s">
        <v>2321</v>
      </c>
      <c r="AF37" t="s">
        <v>2322</v>
      </c>
    </row>
    <row r="38" spans="1:32" x14ac:dyDescent="0.35">
      <c r="A38" t="s">
        <v>39</v>
      </c>
      <c r="B38">
        <v>476963</v>
      </c>
      <c r="C38" t="s">
        <v>72</v>
      </c>
      <c r="D38" t="s">
        <v>426</v>
      </c>
      <c r="E38" t="s">
        <v>372</v>
      </c>
      <c r="F38">
        <v>304</v>
      </c>
      <c r="G38">
        <v>328.36</v>
      </c>
      <c r="H38">
        <v>280.60000000000002</v>
      </c>
      <c r="I38">
        <v>280.60000000000002</v>
      </c>
      <c r="J38">
        <v>889.56000000000006</v>
      </c>
      <c r="K38">
        <v>585.56000000000006</v>
      </c>
      <c r="L38">
        <v>1.9261842105263161</v>
      </c>
      <c r="M38">
        <v>192.61842105263159</v>
      </c>
      <c r="N38">
        <v>796.48</v>
      </c>
      <c r="O38">
        <v>860.31</v>
      </c>
      <c r="P38">
        <v>735.17</v>
      </c>
      <c r="Q38">
        <v>735.17</v>
      </c>
      <c r="R38">
        <v>2330.65</v>
      </c>
      <c r="S38">
        <v>1534.17</v>
      </c>
      <c r="T38">
        <v>1.9261877259943749</v>
      </c>
      <c r="U38">
        <v>192.61877259943751</v>
      </c>
      <c r="V38">
        <v>18.239999999999998</v>
      </c>
      <c r="W38">
        <v>19.7</v>
      </c>
      <c r="X38">
        <v>16.84</v>
      </c>
      <c r="Y38">
        <v>16.84</v>
      </c>
      <c r="Z38">
        <v>53.38</v>
      </c>
      <c r="AA38">
        <v>35.14</v>
      </c>
      <c r="AB38">
        <v>1.9265350877192979</v>
      </c>
      <c r="AC38">
        <v>192.65350877192981</v>
      </c>
      <c r="AD38" t="s">
        <v>2322</v>
      </c>
      <c r="AE38" t="s">
        <v>2322</v>
      </c>
      <c r="AF38" t="s">
        <v>2322</v>
      </c>
    </row>
    <row r="39" spans="1:32" x14ac:dyDescent="0.35">
      <c r="A39" t="s">
        <v>39</v>
      </c>
      <c r="B39">
        <v>476005</v>
      </c>
      <c r="C39" t="s">
        <v>72</v>
      </c>
      <c r="D39" t="s">
        <v>446</v>
      </c>
      <c r="E39" t="s">
        <v>372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D39" t="s">
        <v>2321</v>
      </c>
      <c r="AE39" t="s">
        <v>2321</v>
      </c>
      <c r="AF39" t="s">
        <v>2321</v>
      </c>
    </row>
    <row r="40" spans="1:32" x14ac:dyDescent="0.35">
      <c r="A40" t="s">
        <v>39</v>
      </c>
      <c r="B40">
        <v>475266</v>
      </c>
      <c r="C40" t="s">
        <v>72</v>
      </c>
      <c r="D40" t="s">
        <v>448</v>
      </c>
      <c r="E40" t="s">
        <v>372</v>
      </c>
      <c r="F40">
        <v>360</v>
      </c>
      <c r="G40">
        <v>400</v>
      </c>
      <c r="H40">
        <v>309.12</v>
      </c>
      <c r="I40">
        <v>229.12</v>
      </c>
      <c r="J40">
        <v>938.24</v>
      </c>
      <c r="K40">
        <v>578.24</v>
      </c>
      <c r="L40">
        <v>1.606222222222222</v>
      </c>
      <c r="M40">
        <v>160.62222222222221</v>
      </c>
      <c r="N40">
        <v>268.8</v>
      </c>
      <c r="O40">
        <v>298.67</v>
      </c>
      <c r="P40">
        <v>230.81</v>
      </c>
      <c r="Q40">
        <v>171.08</v>
      </c>
      <c r="R40">
        <v>700.56000000000006</v>
      </c>
      <c r="S40">
        <v>431.76</v>
      </c>
      <c r="T40">
        <v>1.60625</v>
      </c>
      <c r="U40">
        <v>160.625</v>
      </c>
      <c r="V40">
        <v>7.2</v>
      </c>
      <c r="W40">
        <v>8</v>
      </c>
      <c r="X40">
        <v>6.18</v>
      </c>
      <c r="Y40">
        <v>4.58</v>
      </c>
      <c r="Z40">
        <v>18.760000000000002</v>
      </c>
      <c r="AA40">
        <v>11.56</v>
      </c>
      <c r="AB40">
        <v>1.605555555555555</v>
      </c>
      <c r="AC40">
        <v>160.55555555555549</v>
      </c>
      <c r="AD40" t="s">
        <v>2322</v>
      </c>
      <c r="AE40" t="s">
        <v>2322</v>
      </c>
      <c r="AF40" t="s">
        <v>2322</v>
      </c>
    </row>
    <row r="41" spans="1:32" x14ac:dyDescent="0.35">
      <c r="A41" t="s">
        <v>39</v>
      </c>
      <c r="B41">
        <v>476955</v>
      </c>
      <c r="C41" t="s">
        <v>72</v>
      </c>
      <c r="D41" t="s">
        <v>468</v>
      </c>
      <c r="E41" t="s">
        <v>372</v>
      </c>
      <c r="F41">
        <v>390</v>
      </c>
      <c r="G41">
        <v>358.94</v>
      </c>
      <c r="H41">
        <v>445.01</v>
      </c>
      <c r="I41">
        <v>475.01</v>
      </c>
      <c r="J41">
        <v>1278.96</v>
      </c>
      <c r="K41">
        <v>888.96</v>
      </c>
      <c r="L41">
        <v>2.279384615384616</v>
      </c>
      <c r="M41">
        <v>227.93846153846161</v>
      </c>
      <c r="N41">
        <v>319.8</v>
      </c>
      <c r="O41">
        <v>294.33</v>
      </c>
      <c r="P41">
        <v>364.91</v>
      </c>
      <c r="Q41">
        <v>389.51</v>
      </c>
      <c r="R41">
        <v>1048.75</v>
      </c>
      <c r="S41">
        <v>728.95</v>
      </c>
      <c r="T41">
        <v>2.2793933708567859</v>
      </c>
      <c r="U41">
        <v>227.93933708567849</v>
      </c>
      <c r="V41">
        <v>7.8</v>
      </c>
      <c r="W41">
        <v>7.18</v>
      </c>
      <c r="X41">
        <v>8.9</v>
      </c>
      <c r="Y41">
        <v>9.5</v>
      </c>
      <c r="Z41">
        <v>25.58</v>
      </c>
      <c r="AA41">
        <v>17.78</v>
      </c>
      <c r="AB41">
        <v>2.2794871794871789</v>
      </c>
      <c r="AC41">
        <v>227.9487179487179</v>
      </c>
      <c r="AD41" t="s">
        <v>2322</v>
      </c>
      <c r="AE41" t="s">
        <v>2322</v>
      </c>
      <c r="AF41" t="s">
        <v>2322</v>
      </c>
    </row>
    <row r="42" spans="1:32" x14ac:dyDescent="0.35">
      <c r="A42" t="s">
        <v>39</v>
      </c>
      <c r="B42">
        <v>475269</v>
      </c>
      <c r="C42" t="s">
        <v>72</v>
      </c>
      <c r="D42" t="s">
        <v>487</v>
      </c>
      <c r="E42" t="s">
        <v>372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D42" t="s">
        <v>2321</v>
      </c>
      <c r="AE42" t="s">
        <v>2321</v>
      </c>
      <c r="AF42" t="s">
        <v>2321</v>
      </c>
    </row>
    <row r="43" spans="1:32" x14ac:dyDescent="0.35">
      <c r="A43" t="s">
        <v>39</v>
      </c>
      <c r="B43">
        <v>476006</v>
      </c>
      <c r="C43" t="s">
        <v>72</v>
      </c>
      <c r="D43" t="s">
        <v>492</v>
      </c>
      <c r="E43" t="s">
        <v>372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D43" t="s">
        <v>2321</v>
      </c>
      <c r="AE43" t="s">
        <v>2321</v>
      </c>
      <c r="AF43" t="s">
        <v>2321</v>
      </c>
    </row>
    <row r="44" spans="1:32" x14ac:dyDescent="0.35">
      <c r="A44" t="s">
        <v>39</v>
      </c>
      <c r="B44">
        <v>475278</v>
      </c>
      <c r="C44" t="s">
        <v>72</v>
      </c>
      <c r="D44" t="s">
        <v>494</v>
      </c>
      <c r="E44" t="s">
        <v>372</v>
      </c>
      <c r="F44">
        <v>342.86</v>
      </c>
      <c r="G44">
        <v>285.72000000000003</v>
      </c>
      <c r="H44">
        <v>257.14999999999998</v>
      </c>
      <c r="I44">
        <v>257.14999999999998</v>
      </c>
      <c r="J44">
        <v>800.02</v>
      </c>
      <c r="K44">
        <v>457.16</v>
      </c>
      <c r="L44">
        <v>1.333372221898151</v>
      </c>
      <c r="M44">
        <v>133.33722218981509</v>
      </c>
      <c r="N44">
        <v>363.44</v>
      </c>
      <c r="O44">
        <v>302.86</v>
      </c>
      <c r="P44">
        <v>272.58</v>
      </c>
      <c r="Q44">
        <v>272.58</v>
      </c>
      <c r="R44">
        <v>848.02</v>
      </c>
      <c r="S44">
        <v>484.58</v>
      </c>
      <c r="T44">
        <v>1.333314990094651</v>
      </c>
      <c r="U44">
        <v>133.33149900946509</v>
      </c>
      <c r="V44">
        <v>9.14</v>
      </c>
      <c r="W44">
        <v>7.62</v>
      </c>
      <c r="X44">
        <v>6.86</v>
      </c>
      <c r="Y44">
        <v>6.86</v>
      </c>
      <c r="Z44">
        <v>21.34</v>
      </c>
      <c r="AA44">
        <v>12.2</v>
      </c>
      <c r="AB44">
        <v>1.334792122538293</v>
      </c>
      <c r="AC44">
        <v>133.4792122538293</v>
      </c>
      <c r="AD44" t="s">
        <v>2322</v>
      </c>
      <c r="AE44" t="s">
        <v>2322</v>
      </c>
      <c r="AF44" t="s">
        <v>2322</v>
      </c>
    </row>
    <row r="45" spans="1:32" x14ac:dyDescent="0.35">
      <c r="A45" t="s">
        <v>39</v>
      </c>
      <c r="B45">
        <v>680218</v>
      </c>
      <c r="C45" t="s">
        <v>72</v>
      </c>
      <c r="D45" t="s">
        <v>513</v>
      </c>
      <c r="E45" t="s">
        <v>514</v>
      </c>
      <c r="F45">
        <v>359.33</v>
      </c>
      <c r="G45">
        <v>297.79000000000002</v>
      </c>
      <c r="H45">
        <v>195.13</v>
      </c>
      <c r="I45">
        <v>0</v>
      </c>
      <c r="J45">
        <v>492.92</v>
      </c>
      <c r="K45">
        <v>133.59</v>
      </c>
      <c r="L45">
        <v>0.37177524837892761</v>
      </c>
      <c r="M45">
        <v>37.177524837892761</v>
      </c>
      <c r="N45">
        <v>368.91</v>
      </c>
      <c r="O45">
        <v>305.73</v>
      </c>
      <c r="P45">
        <v>200.33</v>
      </c>
      <c r="Q45">
        <v>0</v>
      </c>
      <c r="R45">
        <v>506.06000000000012</v>
      </c>
      <c r="S45">
        <v>137.15</v>
      </c>
      <c r="T45">
        <v>0.37177089262963881</v>
      </c>
      <c r="U45">
        <v>37.177089262963882</v>
      </c>
      <c r="V45">
        <v>9.58</v>
      </c>
      <c r="W45">
        <v>7.94</v>
      </c>
      <c r="X45">
        <v>5.2</v>
      </c>
      <c r="Y45">
        <v>0</v>
      </c>
      <c r="Z45">
        <v>13.14</v>
      </c>
      <c r="AA45">
        <v>3.56</v>
      </c>
      <c r="AB45">
        <v>0.37160751565762018</v>
      </c>
      <c r="AC45">
        <v>37.16075156576202</v>
      </c>
      <c r="AD45" t="s">
        <v>2322</v>
      </c>
      <c r="AE45" t="s">
        <v>2322</v>
      </c>
      <c r="AF45" t="s">
        <v>2322</v>
      </c>
    </row>
    <row r="46" spans="1:32" x14ac:dyDescent="0.35">
      <c r="A46" t="s">
        <v>39</v>
      </c>
      <c r="B46">
        <v>680226</v>
      </c>
      <c r="C46" t="s">
        <v>72</v>
      </c>
      <c r="D46" t="s">
        <v>530</v>
      </c>
      <c r="E46" t="s">
        <v>514</v>
      </c>
      <c r="F46">
        <v>333.67</v>
      </c>
      <c r="G46">
        <v>200.65</v>
      </c>
      <c r="H46">
        <v>97.98</v>
      </c>
      <c r="I46">
        <v>0</v>
      </c>
      <c r="J46">
        <v>298.63</v>
      </c>
      <c r="K46">
        <v>-35.04000000000002</v>
      </c>
      <c r="L46">
        <v>-0.1050139359247161</v>
      </c>
      <c r="M46">
        <v>10.50139359247161</v>
      </c>
      <c r="N46">
        <v>631.75</v>
      </c>
      <c r="O46">
        <v>379.89</v>
      </c>
      <c r="P46">
        <v>185.51</v>
      </c>
      <c r="Q46">
        <v>0</v>
      </c>
      <c r="R46">
        <v>565.4</v>
      </c>
      <c r="S46">
        <v>-66.350000000000023</v>
      </c>
      <c r="T46">
        <v>-0.1050257222002374</v>
      </c>
      <c r="U46">
        <v>10.50257222002374</v>
      </c>
      <c r="V46">
        <v>15.57</v>
      </c>
      <c r="W46">
        <v>9.36</v>
      </c>
      <c r="X46">
        <v>4.57</v>
      </c>
      <c r="Y46">
        <v>0</v>
      </c>
      <c r="Z46">
        <v>13.93</v>
      </c>
      <c r="AA46">
        <v>-1.640000000000001</v>
      </c>
      <c r="AB46">
        <v>-0.1053307642903019</v>
      </c>
      <c r="AC46">
        <v>10.53307642903019</v>
      </c>
      <c r="AD46" t="s">
        <v>2324</v>
      </c>
      <c r="AE46" t="s">
        <v>2324</v>
      </c>
      <c r="AF46" t="s">
        <v>2324</v>
      </c>
    </row>
    <row r="47" spans="1:32" x14ac:dyDescent="0.35">
      <c r="A47" t="s">
        <v>39</v>
      </c>
      <c r="B47">
        <v>698117</v>
      </c>
      <c r="C47" t="s">
        <v>72</v>
      </c>
      <c r="D47" t="s">
        <v>542</v>
      </c>
      <c r="E47" t="s">
        <v>543</v>
      </c>
      <c r="F47">
        <v>125.01</v>
      </c>
      <c r="G47">
        <v>35.72</v>
      </c>
      <c r="H47">
        <v>17.260000000000002</v>
      </c>
      <c r="I47">
        <v>17.260000000000002</v>
      </c>
      <c r="J47">
        <v>70.240000000000009</v>
      </c>
      <c r="K47">
        <v>-54.77</v>
      </c>
      <c r="L47">
        <v>-0.43812495000399959</v>
      </c>
      <c r="M47">
        <v>43.812495000399963</v>
      </c>
      <c r="N47">
        <v>52.5</v>
      </c>
      <c r="O47">
        <v>15</v>
      </c>
      <c r="P47">
        <v>7.25</v>
      </c>
      <c r="Q47">
        <v>7.25</v>
      </c>
      <c r="R47">
        <v>29.5</v>
      </c>
      <c r="S47">
        <v>-23</v>
      </c>
      <c r="T47">
        <v>-0.43809523809523809</v>
      </c>
      <c r="U47">
        <v>43.80952380952381</v>
      </c>
      <c r="V47">
        <v>1.67</v>
      </c>
      <c r="W47">
        <v>0.48</v>
      </c>
      <c r="X47">
        <v>0.23</v>
      </c>
      <c r="Y47">
        <v>0.23</v>
      </c>
      <c r="Z47">
        <v>0.94</v>
      </c>
      <c r="AA47">
        <v>-0.73</v>
      </c>
      <c r="AB47">
        <v>-0.43712574850299402</v>
      </c>
      <c r="AC47">
        <v>43.712574850299397</v>
      </c>
      <c r="AD47" t="s">
        <v>2322</v>
      </c>
      <c r="AE47" t="s">
        <v>2322</v>
      </c>
      <c r="AF47" t="s">
        <v>2322</v>
      </c>
    </row>
    <row r="48" spans="1:32" x14ac:dyDescent="0.35">
      <c r="A48" t="s">
        <v>39</v>
      </c>
      <c r="B48">
        <v>36572</v>
      </c>
      <c r="C48" t="s">
        <v>72</v>
      </c>
      <c r="D48" t="s">
        <v>552</v>
      </c>
      <c r="E48" t="s">
        <v>553</v>
      </c>
      <c r="F48">
        <v>9.8000000000000007</v>
      </c>
      <c r="G48">
        <v>9.8000000000000007</v>
      </c>
      <c r="H48">
        <v>9.8000000000000007</v>
      </c>
      <c r="I48">
        <v>9.8000000000000007</v>
      </c>
      <c r="J48">
        <v>29.4</v>
      </c>
      <c r="K48">
        <v>19.600000000000001</v>
      </c>
      <c r="L48">
        <v>2</v>
      </c>
      <c r="M48">
        <v>200</v>
      </c>
      <c r="N48">
        <v>8.0299999999999994</v>
      </c>
      <c r="O48">
        <v>8.0299999999999994</v>
      </c>
      <c r="P48">
        <v>8.0299999999999994</v>
      </c>
      <c r="Q48">
        <v>8.0299999999999994</v>
      </c>
      <c r="R48">
        <v>24.09</v>
      </c>
      <c r="S48">
        <v>16.059999999999999</v>
      </c>
      <c r="T48">
        <v>2</v>
      </c>
      <c r="U48">
        <v>200</v>
      </c>
      <c r="V48">
        <v>0.54</v>
      </c>
      <c r="W48">
        <v>0.54</v>
      </c>
      <c r="X48">
        <v>0.54</v>
      </c>
      <c r="Y48">
        <v>0.54</v>
      </c>
      <c r="Z48">
        <v>1.62</v>
      </c>
      <c r="AA48">
        <v>1.08</v>
      </c>
      <c r="AB48">
        <v>2</v>
      </c>
      <c r="AC48">
        <v>200</v>
      </c>
      <c r="AD48" t="s">
        <v>2322</v>
      </c>
      <c r="AE48" t="s">
        <v>2322</v>
      </c>
      <c r="AF48" t="s">
        <v>2322</v>
      </c>
    </row>
    <row r="49" spans="1:32" x14ac:dyDescent="0.35">
      <c r="A49" t="s">
        <v>39</v>
      </c>
      <c r="B49">
        <v>263155</v>
      </c>
      <c r="C49" t="s">
        <v>72</v>
      </c>
      <c r="D49" t="s">
        <v>567</v>
      </c>
      <c r="E49" t="s">
        <v>568</v>
      </c>
      <c r="F49">
        <v>204.12</v>
      </c>
      <c r="G49">
        <v>204.12</v>
      </c>
      <c r="H49">
        <v>204.87</v>
      </c>
      <c r="I49">
        <v>204.87</v>
      </c>
      <c r="J49">
        <v>613.86</v>
      </c>
      <c r="K49">
        <v>409.74</v>
      </c>
      <c r="L49">
        <v>2.00734861845973</v>
      </c>
      <c r="M49">
        <v>200.73486184597289</v>
      </c>
      <c r="N49">
        <v>60.57</v>
      </c>
      <c r="O49">
        <v>60.57</v>
      </c>
      <c r="P49">
        <v>60.8</v>
      </c>
      <c r="Q49">
        <v>60.8</v>
      </c>
      <c r="R49">
        <v>182.17</v>
      </c>
      <c r="S49">
        <v>121.6</v>
      </c>
      <c r="T49">
        <v>2.0075945187386499</v>
      </c>
      <c r="U49">
        <v>200.759451873865</v>
      </c>
      <c r="V49">
        <v>2.76</v>
      </c>
      <c r="W49">
        <v>2.76</v>
      </c>
      <c r="X49">
        <v>2.77</v>
      </c>
      <c r="Y49">
        <v>2.77</v>
      </c>
      <c r="Z49">
        <v>8.2999999999999989</v>
      </c>
      <c r="AA49">
        <v>5.5399999999999991</v>
      </c>
      <c r="AB49">
        <v>2.0072463768115938</v>
      </c>
      <c r="AC49">
        <v>200.72463768115941</v>
      </c>
      <c r="AD49" t="s">
        <v>2322</v>
      </c>
      <c r="AE49" t="s">
        <v>2322</v>
      </c>
      <c r="AF49" t="s">
        <v>2322</v>
      </c>
    </row>
    <row r="50" spans="1:32" x14ac:dyDescent="0.35">
      <c r="A50" t="s">
        <v>39</v>
      </c>
      <c r="B50">
        <v>263156</v>
      </c>
      <c r="C50" t="s">
        <v>72</v>
      </c>
      <c r="D50" t="s">
        <v>582</v>
      </c>
      <c r="E50" t="s">
        <v>568</v>
      </c>
      <c r="F50">
        <v>143.4</v>
      </c>
      <c r="G50">
        <v>141.99</v>
      </c>
      <c r="H50">
        <v>142.59</v>
      </c>
      <c r="I50">
        <v>142.59</v>
      </c>
      <c r="J50">
        <v>427.17000000000007</v>
      </c>
      <c r="K50">
        <v>283.7700000000001</v>
      </c>
      <c r="L50">
        <v>1.9788702928870301</v>
      </c>
      <c r="M50">
        <v>197.88702928870299</v>
      </c>
      <c r="N50">
        <v>83.27</v>
      </c>
      <c r="O50">
        <v>82.45</v>
      </c>
      <c r="P50">
        <v>82.8</v>
      </c>
      <c r="Q50">
        <v>82.8</v>
      </c>
      <c r="R50">
        <v>248.05</v>
      </c>
      <c r="S50">
        <v>164.78</v>
      </c>
      <c r="T50">
        <v>1.9788639365918099</v>
      </c>
      <c r="U50">
        <v>197.88639365918101</v>
      </c>
      <c r="V50">
        <v>6.29</v>
      </c>
      <c r="W50">
        <v>6.23</v>
      </c>
      <c r="X50">
        <v>6.26</v>
      </c>
      <c r="Y50">
        <v>6.26</v>
      </c>
      <c r="Z50">
        <v>18.75</v>
      </c>
      <c r="AA50">
        <v>12.46</v>
      </c>
      <c r="AB50">
        <v>1.9809220985691569</v>
      </c>
      <c r="AC50">
        <v>198.0922098569157</v>
      </c>
      <c r="AD50" t="s">
        <v>2322</v>
      </c>
      <c r="AE50" t="s">
        <v>2322</v>
      </c>
      <c r="AF50" t="s">
        <v>2322</v>
      </c>
    </row>
    <row r="51" spans="1:32" x14ac:dyDescent="0.35">
      <c r="A51" t="s">
        <v>39</v>
      </c>
      <c r="B51">
        <v>263158</v>
      </c>
      <c r="C51" t="s">
        <v>72</v>
      </c>
      <c r="D51" t="s">
        <v>604</v>
      </c>
      <c r="E51" t="s">
        <v>568</v>
      </c>
      <c r="F51">
        <v>203.78</v>
      </c>
      <c r="G51">
        <v>169.81</v>
      </c>
      <c r="H51">
        <v>169.62</v>
      </c>
      <c r="I51">
        <v>169.62</v>
      </c>
      <c r="J51">
        <v>509.05</v>
      </c>
      <c r="K51">
        <v>305.27</v>
      </c>
      <c r="L51">
        <v>1.4980370988320739</v>
      </c>
      <c r="M51">
        <v>149.8037098832074</v>
      </c>
      <c r="N51">
        <v>82.93</v>
      </c>
      <c r="O51">
        <v>69.099999999999994</v>
      </c>
      <c r="P51">
        <v>69.03</v>
      </c>
      <c r="Q51">
        <v>69.03</v>
      </c>
      <c r="R51">
        <v>207.16</v>
      </c>
      <c r="S51">
        <v>124.23</v>
      </c>
      <c r="T51">
        <v>1.498010370191728</v>
      </c>
      <c r="U51">
        <v>149.80103701917281</v>
      </c>
      <c r="V51">
        <v>5.03</v>
      </c>
      <c r="W51">
        <v>4.1900000000000004</v>
      </c>
      <c r="X51">
        <v>4.1900000000000004</v>
      </c>
      <c r="Y51">
        <v>4.1900000000000004</v>
      </c>
      <c r="Z51">
        <v>12.57</v>
      </c>
      <c r="AA51">
        <v>7.54</v>
      </c>
      <c r="AB51">
        <v>1.499005964214712</v>
      </c>
      <c r="AC51">
        <v>149.90059642147119</v>
      </c>
      <c r="AD51" t="s">
        <v>2322</v>
      </c>
      <c r="AE51" t="s">
        <v>2322</v>
      </c>
      <c r="AF51" t="s">
        <v>2322</v>
      </c>
    </row>
    <row r="52" spans="1:32" x14ac:dyDescent="0.35">
      <c r="A52" t="s">
        <v>39</v>
      </c>
      <c r="B52">
        <v>263159</v>
      </c>
      <c r="C52" t="s">
        <v>72</v>
      </c>
      <c r="D52" t="s">
        <v>623</v>
      </c>
      <c r="E52" t="s">
        <v>568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D52" t="s">
        <v>2321</v>
      </c>
      <c r="AE52" t="s">
        <v>2321</v>
      </c>
      <c r="AF52" t="s">
        <v>2321</v>
      </c>
    </row>
    <row r="53" spans="1:32" x14ac:dyDescent="0.35">
      <c r="A53" t="s">
        <v>39</v>
      </c>
      <c r="B53">
        <v>263160</v>
      </c>
      <c r="C53" t="s">
        <v>72</v>
      </c>
      <c r="D53" t="s">
        <v>625</v>
      </c>
      <c r="E53" t="s">
        <v>568</v>
      </c>
      <c r="F53">
        <v>201.19</v>
      </c>
      <c r="G53">
        <v>134.13</v>
      </c>
      <c r="H53">
        <v>202.09</v>
      </c>
      <c r="I53">
        <v>202.09</v>
      </c>
      <c r="J53">
        <v>538.31000000000006</v>
      </c>
      <c r="K53">
        <v>337.12000000000012</v>
      </c>
      <c r="L53">
        <v>1.6756300014911281</v>
      </c>
      <c r="M53">
        <v>167.56300014911281</v>
      </c>
      <c r="N53">
        <v>63.34</v>
      </c>
      <c r="O53">
        <v>42.23</v>
      </c>
      <c r="P53">
        <v>63.62</v>
      </c>
      <c r="Q53">
        <v>63.62</v>
      </c>
      <c r="R53">
        <v>169.47</v>
      </c>
      <c r="S53">
        <v>106.13</v>
      </c>
      <c r="T53">
        <v>1.675560467319229</v>
      </c>
      <c r="U53">
        <v>167.55604673192289</v>
      </c>
      <c r="V53">
        <v>2.72</v>
      </c>
      <c r="W53">
        <v>1.81</v>
      </c>
      <c r="X53">
        <v>2.73</v>
      </c>
      <c r="Y53">
        <v>2.73</v>
      </c>
      <c r="Z53">
        <v>7.27</v>
      </c>
      <c r="AA53">
        <v>4.5499999999999989</v>
      </c>
      <c r="AB53">
        <v>1.672794117647058</v>
      </c>
      <c r="AC53">
        <v>167.27941176470591</v>
      </c>
      <c r="AD53" t="s">
        <v>2322</v>
      </c>
      <c r="AE53" t="s">
        <v>2322</v>
      </c>
      <c r="AF53" t="s">
        <v>2322</v>
      </c>
    </row>
    <row r="54" spans="1:32" x14ac:dyDescent="0.35">
      <c r="A54" t="s">
        <v>39</v>
      </c>
      <c r="B54">
        <v>263161</v>
      </c>
      <c r="C54" t="s">
        <v>72</v>
      </c>
      <c r="D54" t="s">
        <v>642</v>
      </c>
      <c r="E54" t="s">
        <v>568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D54" t="s">
        <v>2321</v>
      </c>
      <c r="AE54" t="s">
        <v>2321</v>
      </c>
      <c r="AF54" t="s">
        <v>2321</v>
      </c>
    </row>
    <row r="55" spans="1:32" x14ac:dyDescent="0.35">
      <c r="A55" t="s">
        <v>39</v>
      </c>
      <c r="B55">
        <v>263162</v>
      </c>
      <c r="C55" t="s">
        <v>72</v>
      </c>
      <c r="D55" t="s">
        <v>644</v>
      </c>
      <c r="E55" t="s">
        <v>568</v>
      </c>
      <c r="F55">
        <v>101.85</v>
      </c>
      <c r="G55">
        <v>33.950000000000003</v>
      </c>
      <c r="H55">
        <v>33.950000000000003</v>
      </c>
      <c r="I55">
        <v>33.950000000000003</v>
      </c>
      <c r="J55">
        <v>101.85</v>
      </c>
      <c r="K55">
        <v>1.4210854715202001E-14</v>
      </c>
      <c r="L55">
        <v>2.2204460492503131E-16</v>
      </c>
      <c r="M55">
        <v>2.2204460492503131E-14</v>
      </c>
      <c r="N55">
        <v>64.31</v>
      </c>
      <c r="O55">
        <v>21.44</v>
      </c>
      <c r="P55">
        <v>21.44</v>
      </c>
      <c r="Q55">
        <v>21.44</v>
      </c>
      <c r="R55">
        <v>64.320000000000007</v>
      </c>
      <c r="S55">
        <v>1.0000000000005119E-2</v>
      </c>
      <c r="T55">
        <v>1.5549681231541429E-4</v>
      </c>
      <c r="U55">
        <v>1.5549681231541429E-2</v>
      </c>
      <c r="V55">
        <v>2.5099999999999998</v>
      </c>
      <c r="W55">
        <v>0.84</v>
      </c>
      <c r="X55">
        <v>0.84</v>
      </c>
      <c r="Y55">
        <v>0.84</v>
      </c>
      <c r="Z55">
        <v>2.52</v>
      </c>
      <c r="AA55">
        <v>1.0000000000000229E-2</v>
      </c>
      <c r="AB55">
        <v>3.9840637450199168E-3</v>
      </c>
      <c r="AC55">
        <v>0.39840637450199168</v>
      </c>
      <c r="AD55" t="s">
        <v>2323</v>
      </c>
      <c r="AE55" t="s">
        <v>2323</v>
      </c>
      <c r="AF55" t="s">
        <v>2323</v>
      </c>
    </row>
    <row r="56" spans="1:32" x14ac:dyDescent="0.35">
      <c r="A56" t="s">
        <v>39</v>
      </c>
      <c r="B56">
        <v>263163</v>
      </c>
      <c r="C56" t="s">
        <v>72</v>
      </c>
      <c r="D56" t="s">
        <v>661</v>
      </c>
      <c r="E56" t="s">
        <v>568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D56" t="s">
        <v>2321</v>
      </c>
      <c r="AE56" t="s">
        <v>2321</v>
      </c>
      <c r="AF56" t="s">
        <v>2321</v>
      </c>
    </row>
    <row r="57" spans="1:32" x14ac:dyDescent="0.35">
      <c r="A57" t="s">
        <v>39</v>
      </c>
      <c r="B57">
        <v>263166</v>
      </c>
      <c r="C57" t="s">
        <v>72</v>
      </c>
      <c r="D57" t="s">
        <v>663</v>
      </c>
      <c r="E57" t="s">
        <v>281</v>
      </c>
      <c r="F57">
        <v>67.290000000000006</v>
      </c>
      <c r="G57">
        <v>96.45</v>
      </c>
      <c r="H57">
        <v>96.69</v>
      </c>
      <c r="I57">
        <v>96.69</v>
      </c>
      <c r="J57">
        <v>289.83</v>
      </c>
      <c r="K57">
        <v>222.54</v>
      </c>
      <c r="L57">
        <v>3.307177886758804</v>
      </c>
      <c r="M57">
        <v>330.71778867588051</v>
      </c>
      <c r="N57">
        <v>68.180000000000007</v>
      </c>
      <c r="O57">
        <v>97.73</v>
      </c>
      <c r="P57">
        <v>97.97</v>
      </c>
      <c r="Q57">
        <v>97.97</v>
      </c>
      <c r="R57">
        <v>293.67</v>
      </c>
      <c r="S57">
        <v>225.49</v>
      </c>
      <c r="T57">
        <v>3.3072748606629498</v>
      </c>
      <c r="U57">
        <v>330.727486066295</v>
      </c>
      <c r="V57">
        <v>0.57999999999999996</v>
      </c>
      <c r="W57">
        <v>0.83</v>
      </c>
      <c r="X57">
        <v>0.83</v>
      </c>
      <c r="Y57">
        <v>0.83</v>
      </c>
      <c r="Z57">
        <v>2.4900000000000002</v>
      </c>
      <c r="AA57">
        <v>1.91</v>
      </c>
      <c r="AB57">
        <v>3.2931034482758621</v>
      </c>
      <c r="AC57">
        <v>329.31034482758622</v>
      </c>
      <c r="AD57" t="s">
        <v>2322</v>
      </c>
      <c r="AE57" t="s">
        <v>2322</v>
      </c>
      <c r="AF57" t="s">
        <v>2322</v>
      </c>
    </row>
    <row r="58" spans="1:32" x14ac:dyDescent="0.35">
      <c r="A58" t="s">
        <v>39</v>
      </c>
      <c r="B58">
        <v>263168</v>
      </c>
      <c r="C58" t="s">
        <v>72</v>
      </c>
      <c r="D58" t="s">
        <v>679</v>
      </c>
      <c r="E58" t="s">
        <v>281</v>
      </c>
      <c r="F58">
        <v>64.31</v>
      </c>
      <c r="G58">
        <v>71.92</v>
      </c>
      <c r="H58">
        <v>65.23</v>
      </c>
      <c r="I58">
        <v>65.23</v>
      </c>
      <c r="J58">
        <v>202.38</v>
      </c>
      <c r="K58">
        <v>138.07</v>
      </c>
      <c r="L58">
        <v>2.1469444876380028</v>
      </c>
      <c r="M58">
        <v>214.6944487638003</v>
      </c>
      <c r="N58">
        <v>59.81</v>
      </c>
      <c r="O58">
        <v>66.88</v>
      </c>
      <c r="P58">
        <v>60.66</v>
      </c>
      <c r="Q58">
        <v>60.66</v>
      </c>
      <c r="R58">
        <v>188.2</v>
      </c>
      <c r="S58">
        <v>128.38999999999999</v>
      </c>
      <c r="T58">
        <v>2.146630998160842</v>
      </c>
      <c r="U58">
        <v>214.66309981608421</v>
      </c>
      <c r="V58">
        <v>0.82</v>
      </c>
      <c r="W58">
        <v>0.92</v>
      </c>
      <c r="X58">
        <v>0.83</v>
      </c>
      <c r="Y58">
        <v>0.83</v>
      </c>
      <c r="Z58">
        <v>2.58</v>
      </c>
      <c r="AA58">
        <v>1.76</v>
      </c>
      <c r="AB58">
        <v>2.1463414634146338</v>
      </c>
      <c r="AC58">
        <v>214.63414634146341</v>
      </c>
      <c r="AD58" t="s">
        <v>2322</v>
      </c>
      <c r="AE58" t="s">
        <v>2322</v>
      </c>
      <c r="AF58" t="s">
        <v>2322</v>
      </c>
    </row>
    <row r="59" spans="1:32" x14ac:dyDescent="0.35">
      <c r="A59" t="s">
        <v>39</v>
      </c>
      <c r="B59">
        <v>263172</v>
      </c>
      <c r="C59" t="s">
        <v>72</v>
      </c>
      <c r="D59" t="s">
        <v>691</v>
      </c>
      <c r="E59" t="s">
        <v>692</v>
      </c>
      <c r="F59">
        <v>22.11</v>
      </c>
      <c r="G59">
        <v>0</v>
      </c>
      <c r="H59">
        <v>0</v>
      </c>
      <c r="I59">
        <v>0</v>
      </c>
      <c r="J59">
        <v>0</v>
      </c>
      <c r="K59">
        <v>-22.11</v>
      </c>
      <c r="L59">
        <v>-1</v>
      </c>
      <c r="M59">
        <v>100</v>
      </c>
      <c r="N59">
        <v>27.45</v>
      </c>
      <c r="O59">
        <v>0</v>
      </c>
      <c r="P59">
        <v>0</v>
      </c>
      <c r="Q59">
        <v>0</v>
      </c>
      <c r="R59">
        <v>0</v>
      </c>
      <c r="S59">
        <v>-27.45</v>
      </c>
      <c r="T59">
        <v>-1</v>
      </c>
      <c r="U59">
        <v>100</v>
      </c>
      <c r="V59">
        <v>0.81</v>
      </c>
      <c r="W59">
        <v>0</v>
      </c>
      <c r="X59">
        <v>0</v>
      </c>
      <c r="Y59">
        <v>0</v>
      </c>
      <c r="Z59">
        <v>0</v>
      </c>
      <c r="AA59">
        <v>-0.81</v>
      </c>
      <c r="AB59">
        <v>-1</v>
      </c>
      <c r="AC59">
        <v>100</v>
      </c>
      <c r="AD59" t="s">
        <v>2322</v>
      </c>
      <c r="AE59" t="s">
        <v>2322</v>
      </c>
      <c r="AF59" t="s">
        <v>2322</v>
      </c>
    </row>
    <row r="60" spans="1:32" x14ac:dyDescent="0.35">
      <c r="A60" t="s">
        <v>39</v>
      </c>
      <c r="B60">
        <v>263173</v>
      </c>
      <c r="C60" t="s">
        <v>72</v>
      </c>
      <c r="D60" t="s">
        <v>698</v>
      </c>
      <c r="E60" t="s">
        <v>692</v>
      </c>
      <c r="F60">
        <v>26</v>
      </c>
      <c r="G60">
        <v>20.12</v>
      </c>
      <c r="H60">
        <v>20.09</v>
      </c>
      <c r="I60">
        <v>20.09</v>
      </c>
      <c r="J60">
        <v>60.3</v>
      </c>
      <c r="K60">
        <v>34.299999999999997</v>
      </c>
      <c r="L60">
        <v>1.319230769230769</v>
      </c>
      <c r="M60">
        <v>131.92307692307691</v>
      </c>
      <c r="N60">
        <v>20.09</v>
      </c>
      <c r="O60">
        <v>15.54</v>
      </c>
      <c r="P60">
        <v>15.52</v>
      </c>
      <c r="Q60">
        <v>15.52</v>
      </c>
      <c r="R60">
        <v>46.58</v>
      </c>
      <c r="S60">
        <v>26.49</v>
      </c>
      <c r="T60">
        <v>1.3185664509706321</v>
      </c>
      <c r="U60">
        <v>131.85664509706319</v>
      </c>
      <c r="V60">
        <v>1.52</v>
      </c>
      <c r="W60">
        <v>1.17</v>
      </c>
      <c r="X60">
        <v>1.17</v>
      </c>
      <c r="Y60">
        <v>1.17</v>
      </c>
      <c r="Z60">
        <v>3.51</v>
      </c>
      <c r="AA60">
        <v>1.99</v>
      </c>
      <c r="AB60">
        <v>1.3092105263157889</v>
      </c>
      <c r="AC60">
        <v>130.9210526315789</v>
      </c>
      <c r="AD60" t="s">
        <v>2322</v>
      </c>
      <c r="AE60" t="s">
        <v>2322</v>
      </c>
      <c r="AF60" t="s">
        <v>2322</v>
      </c>
    </row>
    <row r="61" spans="1:32" x14ac:dyDescent="0.35">
      <c r="A61" t="s">
        <v>39</v>
      </c>
      <c r="B61">
        <v>263174</v>
      </c>
      <c r="C61" t="s">
        <v>72</v>
      </c>
      <c r="D61" t="s">
        <v>709</v>
      </c>
      <c r="E61" t="s">
        <v>692</v>
      </c>
      <c r="F61">
        <v>34.409999999999997</v>
      </c>
      <c r="G61">
        <v>0</v>
      </c>
      <c r="H61">
        <v>0</v>
      </c>
      <c r="I61">
        <v>0</v>
      </c>
      <c r="J61">
        <v>0</v>
      </c>
      <c r="K61">
        <v>-34.409999999999997</v>
      </c>
      <c r="L61">
        <v>-1</v>
      </c>
      <c r="M61">
        <v>100</v>
      </c>
      <c r="N61">
        <v>26.74</v>
      </c>
      <c r="O61">
        <v>0</v>
      </c>
      <c r="P61">
        <v>0</v>
      </c>
      <c r="Q61">
        <v>0</v>
      </c>
      <c r="R61">
        <v>0</v>
      </c>
      <c r="S61">
        <v>-26.74</v>
      </c>
      <c r="T61">
        <v>-1</v>
      </c>
      <c r="U61">
        <v>100</v>
      </c>
      <c r="V61">
        <v>2.6</v>
      </c>
      <c r="W61">
        <v>0</v>
      </c>
      <c r="X61">
        <v>0</v>
      </c>
      <c r="Y61">
        <v>0</v>
      </c>
      <c r="Z61">
        <v>0</v>
      </c>
      <c r="AA61">
        <v>-2.6</v>
      </c>
      <c r="AB61">
        <v>-1</v>
      </c>
      <c r="AC61">
        <v>100</v>
      </c>
      <c r="AD61" t="s">
        <v>2322</v>
      </c>
      <c r="AE61" t="s">
        <v>2322</v>
      </c>
      <c r="AF61" t="s">
        <v>2322</v>
      </c>
    </row>
    <row r="62" spans="1:32" x14ac:dyDescent="0.35">
      <c r="A62" t="s">
        <v>39</v>
      </c>
      <c r="B62">
        <v>266931</v>
      </c>
      <c r="C62" t="s">
        <v>72</v>
      </c>
      <c r="D62" t="s">
        <v>717</v>
      </c>
      <c r="E62" t="s">
        <v>718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D62" t="s">
        <v>2321</v>
      </c>
      <c r="AE62" t="s">
        <v>2321</v>
      </c>
      <c r="AF62" t="s">
        <v>2321</v>
      </c>
    </row>
    <row r="63" spans="1:32" x14ac:dyDescent="0.35">
      <c r="A63" t="s">
        <v>39</v>
      </c>
      <c r="B63">
        <v>269417</v>
      </c>
      <c r="C63" t="s">
        <v>72</v>
      </c>
      <c r="D63" t="s">
        <v>720</v>
      </c>
      <c r="E63" t="s">
        <v>721</v>
      </c>
      <c r="F63">
        <v>621.75</v>
      </c>
      <c r="G63">
        <v>690.1</v>
      </c>
      <c r="H63">
        <v>630.21</v>
      </c>
      <c r="I63">
        <v>630.21</v>
      </c>
      <c r="J63">
        <v>1950.52</v>
      </c>
      <c r="K63">
        <v>1328.77</v>
      </c>
      <c r="L63">
        <v>2.137145154804986</v>
      </c>
      <c r="M63">
        <v>213.71451548049859</v>
      </c>
      <c r="N63">
        <v>224.74</v>
      </c>
      <c r="O63">
        <v>249.45</v>
      </c>
      <c r="P63">
        <v>227.8</v>
      </c>
      <c r="Q63">
        <v>227.8</v>
      </c>
      <c r="R63">
        <v>705.05</v>
      </c>
      <c r="S63">
        <v>480.30999999999989</v>
      </c>
      <c r="T63">
        <v>2.1371807421909761</v>
      </c>
      <c r="U63">
        <v>213.71807421909759</v>
      </c>
      <c r="V63">
        <v>6.2</v>
      </c>
      <c r="W63">
        <v>6.88</v>
      </c>
      <c r="X63">
        <v>6.29</v>
      </c>
      <c r="Y63">
        <v>6.29</v>
      </c>
      <c r="Z63">
        <v>19.46</v>
      </c>
      <c r="AA63">
        <v>13.26</v>
      </c>
      <c r="AB63">
        <v>2.1387096774193548</v>
      </c>
      <c r="AC63">
        <v>213.87096774193549</v>
      </c>
      <c r="AD63" t="s">
        <v>2322</v>
      </c>
      <c r="AE63" t="s">
        <v>2322</v>
      </c>
      <c r="AF63" t="s">
        <v>2322</v>
      </c>
    </row>
    <row r="64" spans="1:32" x14ac:dyDescent="0.35">
      <c r="A64" t="s">
        <v>39</v>
      </c>
      <c r="B64">
        <v>269418</v>
      </c>
      <c r="C64" t="s">
        <v>72</v>
      </c>
      <c r="D64" t="s">
        <v>737</v>
      </c>
      <c r="E64" t="s">
        <v>721</v>
      </c>
      <c r="F64">
        <v>74.760000000000005</v>
      </c>
      <c r="G64">
        <v>74.73</v>
      </c>
      <c r="H64">
        <v>93.97</v>
      </c>
      <c r="I64">
        <v>93.97</v>
      </c>
      <c r="J64">
        <v>262.67</v>
      </c>
      <c r="K64">
        <v>187.91</v>
      </c>
      <c r="L64">
        <v>2.5135098983413582</v>
      </c>
      <c r="M64">
        <v>251.35098983413579</v>
      </c>
      <c r="N64">
        <v>55.05</v>
      </c>
      <c r="O64">
        <v>55.03</v>
      </c>
      <c r="P64">
        <v>69.2</v>
      </c>
      <c r="Q64">
        <v>69.2</v>
      </c>
      <c r="R64">
        <v>193.43</v>
      </c>
      <c r="S64">
        <v>138.38</v>
      </c>
      <c r="T64">
        <v>2.51371480472298</v>
      </c>
      <c r="U64">
        <v>251.37148047229789</v>
      </c>
      <c r="V64">
        <v>2.39</v>
      </c>
      <c r="W64">
        <v>2.39</v>
      </c>
      <c r="X64">
        <v>3</v>
      </c>
      <c r="Y64">
        <v>3</v>
      </c>
      <c r="Z64">
        <v>8.39</v>
      </c>
      <c r="AA64">
        <v>6</v>
      </c>
      <c r="AB64">
        <v>2.510460251046025</v>
      </c>
      <c r="AC64">
        <v>251.04602510460251</v>
      </c>
      <c r="AD64" t="s">
        <v>2322</v>
      </c>
      <c r="AE64" t="s">
        <v>2322</v>
      </c>
      <c r="AF64" t="s">
        <v>2322</v>
      </c>
    </row>
    <row r="65" spans="1:32" x14ac:dyDescent="0.35">
      <c r="A65" t="s">
        <v>39</v>
      </c>
      <c r="B65">
        <v>281034</v>
      </c>
      <c r="C65" t="s">
        <v>72</v>
      </c>
      <c r="D65" t="s">
        <v>751</v>
      </c>
      <c r="E65" t="s">
        <v>752</v>
      </c>
      <c r="F65">
        <v>18.72</v>
      </c>
      <c r="G65">
        <v>17.510000000000002</v>
      </c>
      <c r="H65">
        <v>18.34</v>
      </c>
      <c r="I65">
        <v>18.34</v>
      </c>
      <c r="J65">
        <v>54.19</v>
      </c>
      <c r="K65">
        <v>35.47</v>
      </c>
      <c r="L65">
        <v>1.894764957264957</v>
      </c>
      <c r="M65">
        <v>189.4764957264957</v>
      </c>
      <c r="N65">
        <v>14.08</v>
      </c>
      <c r="O65">
        <v>13.17</v>
      </c>
      <c r="P65">
        <v>13.79</v>
      </c>
      <c r="Q65">
        <v>13.79</v>
      </c>
      <c r="R65">
        <v>40.75</v>
      </c>
      <c r="S65">
        <v>26.67</v>
      </c>
      <c r="T65">
        <v>1.894176136363636</v>
      </c>
      <c r="U65">
        <v>189.4176136363636</v>
      </c>
      <c r="V65">
        <v>0.39</v>
      </c>
      <c r="W65">
        <v>0.37</v>
      </c>
      <c r="X65">
        <v>0.38</v>
      </c>
      <c r="Y65">
        <v>0.38</v>
      </c>
      <c r="Z65">
        <v>1.1299999999999999</v>
      </c>
      <c r="AA65">
        <v>0.73999999999999988</v>
      </c>
      <c r="AB65">
        <v>1.8974358974358969</v>
      </c>
      <c r="AC65">
        <v>189.74358974358969</v>
      </c>
      <c r="AD65" t="s">
        <v>2322</v>
      </c>
      <c r="AE65" t="s">
        <v>2322</v>
      </c>
      <c r="AF65" t="s">
        <v>2322</v>
      </c>
    </row>
    <row r="66" spans="1:32" x14ac:dyDescent="0.35">
      <c r="A66" t="s">
        <v>39</v>
      </c>
      <c r="B66">
        <v>281035</v>
      </c>
      <c r="C66" t="s">
        <v>72</v>
      </c>
      <c r="D66" t="s">
        <v>767</v>
      </c>
      <c r="E66" t="s">
        <v>752</v>
      </c>
      <c r="F66">
        <v>32.4</v>
      </c>
      <c r="G66">
        <v>31.62</v>
      </c>
      <c r="H66">
        <v>32.08</v>
      </c>
      <c r="I66">
        <v>32.08</v>
      </c>
      <c r="J66">
        <v>95.78</v>
      </c>
      <c r="K66">
        <v>63.38</v>
      </c>
      <c r="L66">
        <v>1.956172839506173</v>
      </c>
      <c r="M66">
        <v>195.61728395061729</v>
      </c>
      <c r="N66">
        <v>24.35</v>
      </c>
      <c r="O66">
        <v>23.76</v>
      </c>
      <c r="P66">
        <v>24.11</v>
      </c>
      <c r="Q66">
        <v>24.11</v>
      </c>
      <c r="R66">
        <v>71.98</v>
      </c>
      <c r="S66">
        <v>47.63</v>
      </c>
      <c r="T66">
        <v>1.9560574948665299</v>
      </c>
      <c r="U66">
        <v>195.605749486653</v>
      </c>
      <c r="V66">
        <v>0.95</v>
      </c>
      <c r="W66">
        <v>0.92</v>
      </c>
      <c r="X66">
        <v>0.94</v>
      </c>
      <c r="Y66">
        <v>0.94</v>
      </c>
      <c r="Z66">
        <v>2.8</v>
      </c>
      <c r="AA66">
        <v>1.85</v>
      </c>
      <c r="AB66">
        <v>1.947368421052631</v>
      </c>
      <c r="AC66">
        <v>194.73684210526321</v>
      </c>
      <c r="AD66" t="s">
        <v>2322</v>
      </c>
      <c r="AE66" t="s">
        <v>2322</v>
      </c>
      <c r="AF66" t="s">
        <v>2322</v>
      </c>
    </row>
    <row r="67" spans="1:32" x14ac:dyDescent="0.35">
      <c r="A67" t="s">
        <v>39</v>
      </c>
      <c r="B67">
        <v>281036</v>
      </c>
      <c r="C67" t="s">
        <v>72</v>
      </c>
      <c r="D67" t="s">
        <v>780</v>
      </c>
      <c r="E67" t="s">
        <v>752</v>
      </c>
      <c r="F67">
        <v>87.42</v>
      </c>
      <c r="G67">
        <v>87.42</v>
      </c>
      <c r="H67">
        <v>87.83</v>
      </c>
      <c r="I67">
        <v>87.83</v>
      </c>
      <c r="J67">
        <v>263.08</v>
      </c>
      <c r="K67">
        <v>175.66</v>
      </c>
      <c r="L67">
        <v>2.0093800045756121</v>
      </c>
      <c r="M67">
        <v>200.9380004575612</v>
      </c>
      <c r="N67">
        <v>35.979999999999997</v>
      </c>
      <c r="O67">
        <v>35.979999999999997</v>
      </c>
      <c r="P67">
        <v>36.15</v>
      </c>
      <c r="Q67">
        <v>36.15</v>
      </c>
      <c r="R67">
        <v>108.28</v>
      </c>
      <c r="S67">
        <v>72.300000000000011</v>
      </c>
      <c r="T67">
        <v>2.009449694274597</v>
      </c>
      <c r="U67">
        <v>200.94496942745971</v>
      </c>
      <c r="V67">
        <v>1.45</v>
      </c>
      <c r="W67">
        <v>1.45</v>
      </c>
      <c r="X67">
        <v>1.46</v>
      </c>
      <c r="Y67">
        <v>1.46</v>
      </c>
      <c r="Z67">
        <v>4.37</v>
      </c>
      <c r="AA67">
        <v>2.92</v>
      </c>
      <c r="AB67">
        <v>2.0137931034482759</v>
      </c>
      <c r="AC67">
        <v>201.37931034482759</v>
      </c>
      <c r="AD67" t="s">
        <v>2322</v>
      </c>
      <c r="AE67" t="s">
        <v>2322</v>
      </c>
      <c r="AF67" t="s">
        <v>2322</v>
      </c>
    </row>
    <row r="68" spans="1:32" x14ac:dyDescent="0.35">
      <c r="A68" t="s">
        <v>39</v>
      </c>
      <c r="B68">
        <v>307002</v>
      </c>
      <c r="C68" t="s">
        <v>72</v>
      </c>
      <c r="D68" t="s">
        <v>793</v>
      </c>
      <c r="E68" t="s">
        <v>215</v>
      </c>
      <c r="F68">
        <v>67.8</v>
      </c>
      <c r="G68">
        <v>45.2</v>
      </c>
      <c r="H68">
        <v>22.69</v>
      </c>
      <c r="I68">
        <v>22.69</v>
      </c>
      <c r="J68">
        <v>90.58</v>
      </c>
      <c r="K68">
        <v>22.78</v>
      </c>
      <c r="L68">
        <v>0.33598820058997059</v>
      </c>
      <c r="M68">
        <v>33.598820058997063</v>
      </c>
      <c r="N68">
        <v>76.39</v>
      </c>
      <c r="O68">
        <v>50.93</v>
      </c>
      <c r="P68">
        <v>25.56</v>
      </c>
      <c r="Q68">
        <v>25.56</v>
      </c>
      <c r="R68">
        <v>102.05</v>
      </c>
      <c r="S68">
        <v>25.66</v>
      </c>
      <c r="T68">
        <v>0.33590784134048951</v>
      </c>
      <c r="U68">
        <v>33.590784134048953</v>
      </c>
      <c r="V68">
        <v>4.07</v>
      </c>
      <c r="W68">
        <v>2.71</v>
      </c>
      <c r="X68">
        <v>1.36</v>
      </c>
      <c r="Y68">
        <v>1.36</v>
      </c>
      <c r="Z68">
        <v>5.4300000000000006</v>
      </c>
      <c r="AA68">
        <v>1.36</v>
      </c>
      <c r="AB68">
        <v>0.33415233415233431</v>
      </c>
      <c r="AC68">
        <v>33.415233415233423</v>
      </c>
      <c r="AD68" t="s">
        <v>2322</v>
      </c>
      <c r="AE68" t="s">
        <v>2322</v>
      </c>
      <c r="AF68" t="s">
        <v>2322</v>
      </c>
    </row>
    <row r="69" spans="1:32" x14ac:dyDescent="0.35">
      <c r="A69" t="s">
        <v>39</v>
      </c>
      <c r="B69">
        <v>307007</v>
      </c>
      <c r="C69" t="s">
        <v>72</v>
      </c>
      <c r="D69" t="s">
        <v>807</v>
      </c>
      <c r="E69" t="s">
        <v>215</v>
      </c>
      <c r="F69">
        <v>949.2</v>
      </c>
      <c r="H69">
        <v>744.89</v>
      </c>
      <c r="N69">
        <v>797.33</v>
      </c>
      <c r="O69">
        <v>873.18</v>
      </c>
      <c r="P69">
        <v>625.71</v>
      </c>
      <c r="Q69">
        <v>853.51</v>
      </c>
      <c r="R69">
        <v>2352.4</v>
      </c>
      <c r="S69">
        <v>1555.07</v>
      </c>
      <c r="T69">
        <v>1.9503467823862131</v>
      </c>
      <c r="U69">
        <v>195.0346782386213</v>
      </c>
      <c r="V69">
        <v>50.62</v>
      </c>
      <c r="W69">
        <v>55.44</v>
      </c>
      <c r="X69">
        <v>39.729999999999997</v>
      </c>
      <c r="Y69">
        <v>54.19</v>
      </c>
      <c r="Z69">
        <v>149.36000000000001</v>
      </c>
      <c r="AA69">
        <v>98.739999999999981</v>
      </c>
      <c r="AB69">
        <v>1.9506124061635719</v>
      </c>
      <c r="AC69">
        <v>195.0612406163572</v>
      </c>
      <c r="AD69" t="s">
        <v>2321</v>
      </c>
      <c r="AE69" t="s">
        <v>2322</v>
      </c>
      <c r="AF69" t="s">
        <v>2322</v>
      </c>
    </row>
    <row r="70" spans="1:32" x14ac:dyDescent="0.35">
      <c r="A70" t="s">
        <v>39</v>
      </c>
      <c r="B70">
        <v>307022</v>
      </c>
      <c r="C70" t="s">
        <v>72</v>
      </c>
      <c r="D70" t="s">
        <v>826</v>
      </c>
      <c r="E70" t="s">
        <v>215</v>
      </c>
      <c r="F70">
        <v>4.0199999999999996</v>
      </c>
      <c r="G70">
        <v>5.36</v>
      </c>
      <c r="H70">
        <v>5.37</v>
      </c>
      <c r="I70">
        <v>6.71</v>
      </c>
      <c r="J70">
        <v>17.440000000000001</v>
      </c>
      <c r="K70">
        <v>13.42</v>
      </c>
      <c r="L70">
        <v>3.338308457711443</v>
      </c>
      <c r="M70">
        <v>333.83084577114442</v>
      </c>
      <c r="N70">
        <v>89.3</v>
      </c>
      <c r="O70">
        <v>119.12</v>
      </c>
      <c r="P70">
        <v>119.33</v>
      </c>
      <c r="Q70">
        <v>149.1</v>
      </c>
      <c r="R70">
        <v>387.55</v>
      </c>
      <c r="S70">
        <v>298.24999999999989</v>
      </c>
      <c r="T70">
        <v>3.3398656215005591</v>
      </c>
      <c r="U70">
        <v>333.98656215005587</v>
      </c>
      <c r="V70">
        <v>6.49</v>
      </c>
      <c r="W70">
        <v>8.65</v>
      </c>
      <c r="X70">
        <v>8.67</v>
      </c>
      <c r="Y70">
        <v>10.83</v>
      </c>
      <c r="Z70">
        <v>28.15</v>
      </c>
      <c r="AA70">
        <v>21.66</v>
      </c>
      <c r="AB70">
        <v>3.337442218798151</v>
      </c>
      <c r="AC70">
        <v>333.74422187981497</v>
      </c>
      <c r="AD70" t="s">
        <v>2322</v>
      </c>
      <c r="AE70" t="s">
        <v>2322</v>
      </c>
      <c r="AF70" t="s">
        <v>2322</v>
      </c>
    </row>
    <row r="71" spans="1:32" x14ac:dyDescent="0.35">
      <c r="A71" t="s">
        <v>39</v>
      </c>
      <c r="B71">
        <v>307023</v>
      </c>
      <c r="C71" t="s">
        <v>72</v>
      </c>
      <c r="D71" t="s">
        <v>842</v>
      </c>
      <c r="E71" t="s">
        <v>215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D71" t="s">
        <v>2321</v>
      </c>
      <c r="AE71" t="s">
        <v>2321</v>
      </c>
      <c r="AF71" t="s">
        <v>2321</v>
      </c>
    </row>
    <row r="72" spans="1:32" x14ac:dyDescent="0.35">
      <c r="A72" t="s">
        <v>39</v>
      </c>
      <c r="B72">
        <v>756866</v>
      </c>
      <c r="C72" t="s">
        <v>72</v>
      </c>
      <c r="D72" t="s">
        <v>847</v>
      </c>
      <c r="E72" t="s">
        <v>215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D72" t="s">
        <v>2321</v>
      </c>
      <c r="AE72" t="s">
        <v>2321</v>
      </c>
      <c r="AF72" t="s">
        <v>2321</v>
      </c>
    </row>
    <row r="73" spans="1:32" x14ac:dyDescent="0.35">
      <c r="A73" t="s">
        <v>39</v>
      </c>
      <c r="B73">
        <v>340953</v>
      </c>
      <c r="C73" t="s">
        <v>72</v>
      </c>
      <c r="D73" t="s">
        <v>850</v>
      </c>
      <c r="E73" t="s">
        <v>281</v>
      </c>
      <c r="F73">
        <v>43.01</v>
      </c>
      <c r="G73">
        <v>50.31</v>
      </c>
      <c r="H73">
        <v>43.55</v>
      </c>
      <c r="I73">
        <v>43.55</v>
      </c>
      <c r="J73">
        <v>137.41</v>
      </c>
      <c r="K73">
        <v>94.4</v>
      </c>
      <c r="L73">
        <v>2.1948384096721689</v>
      </c>
      <c r="M73">
        <v>219.48384096721691</v>
      </c>
      <c r="N73">
        <v>87.81</v>
      </c>
      <c r="O73">
        <v>102.73</v>
      </c>
      <c r="P73">
        <v>88.91</v>
      </c>
      <c r="Q73">
        <v>88.91</v>
      </c>
      <c r="R73">
        <v>280.55</v>
      </c>
      <c r="S73">
        <v>192.74</v>
      </c>
      <c r="T73">
        <v>2.1949664047375008</v>
      </c>
      <c r="U73">
        <v>219.49664047375009</v>
      </c>
      <c r="V73">
        <v>0.68</v>
      </c>
      <c r="W73">
        <v>0.8</v>
      </c>
      <c r="X73">
        <v>0.69</v>
      </c>
      <c r="Y73">
        <v>0.69</v>
      </c>
      <c r="Z73">
        <v>2.1800000000000002</v>
      </c>
      <c r="AA73">
        <v>1.5</v>
      </c>
      <c r="AB73">
        <v>2.2058823529411762</v>
      </c>
      <c r="AC73">
        <v>220.5882352941176</v>
      </c>
      <c r="AD73" t="s">
        <v>2322</v>
      </c>
      <c r="AE73" t="s">
        <v>2322</v>
      </c>
      <c r="AF73" t="s">
        <v>2322</v>
      </c>
    </row>
    <row r="74" spans="1:32" x14ac:dyDescent="0.35">
      <c r="A74" t="s">
        <v>39</v>
      </c>
      <c r="B74">
        <v>340954</v>
      </c>
      <c r="C74" t="s">
        <v>72</v>
      </c>
      <c r="D74" t="s">
        <v>866</v>
      </c>
      <c r="E74" t="s">
        <v>281</v>
      </c>
      <c r="F74">
        <v>28.65</v>
      </c>
      <c r="G74">
        <v>38.35</v>
      </c>
      <c r="H74">
        <v>38.39</v>
      </c>
      <c r="I74">
        <v>38.39</v>
      </c>
      <c r="J74">
        <v>115.13</v>
      </c>
      <c r="K74">
        <v>86.480000000000018</v>
      </c>
      <c r="L74">
        <v>3.0184991273996511</v>
      </c>
      <c r="M74">
        <v>301.84991273996508</v>
      </c>
      <c r="N74">
        <v>51.61</v>
      </c>
      <c r="O74">
        <v>69.09</v>
      </c>
      <c r="P74">
        <v>69.17</v>
      </c>
      <c r="Q74">
        <v>69.17</v>
      </c>
      <c r="R74">
        <v>207.43</v>
      </c>
      <c r="S74">
        <v>155.82</v>
      </c>
      <c r="T74">
        <v>3.0191823290060071</v>
      </c>
      <c r="U74">
        <v>301.91823290060069</v>
      </c>
      <c r="V74">
        <v>0.31</v>
      </c>
      <c r="W74">
        <v>0.41</v>
      </c>
      <c r="X74">
        <v>0.41</v>
      </c>
      <c r="Y74">
        <v>0.41</v>
      </c>
      <c r="Z74">
        <v>1.23</v>
      </c>
      <c r="AA74">
        <v>0.91999999999999993</v>
      </c>
      <c r="AB74">
        <v>2.967741935483871</v>
      </c>
      <c r="AC74">
        <v>296.77419354838707</v>
      </c>
      <c r="AD74" t="s">
        <v>2322</v>
      </c>
      <c r="AE74" t="s">
        <v>2322</v>
      </c>
      <c r="AF74" t="s">
        <v>2322</v>
      </c>
    </row>
    <row r="75" spans="1:32" x14ac:dyDescent="0.35">
      <c r="A75" t="s">
        <v>39</v>
      </c>
      <c r="B75">
        <v>384654</v>
      </c>
      <c r="C75" t="s">
        <v>72</v>
      </c>
      <c r="D75" t="s">
        <v>879</v>
      </c>
      <c r="E75" t="s">
        <v>718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D75" t="s">
        <v>2321</v>
      </c>
      <c r="AE75" t="s">
        <v>2321</v>
      </c>
      <c r="AF75" t="s">
        <v>2321</v>
      </c>
    </row>
    <row r="76" spans="1:32" x14ac:dyDescent="0.35">
      <c r="A76" t="s">
        <v>39</v>
      </c>
      <c r="B76">
        <v>399217</v>
      </c>
      <c r="C76" t="s">
        <v>72</v>
      </c>
      <c r="D76" t="s">
        <v>881</v>
      </c>
      <c r="E76" t="s">
        <v>215</v>
      </c>
      <c r="F76">
        <v>8</v>
      </c>
      <c r="G76">
        <v>8</v>
      </c>
      <c r="H76">
        <v>8</v>
      </c>
      <c r="I76">
        <v>8</v>
      </c>
      <c r="J76">
        <v>24</v>
      </c>
      <c r="K76">
        <v>16</v>
      </c>
      <c r="L76">
        <v>2</v>
      </c>
      <c r="M76">
        <v>200</v>
      </c>
      <c r="N76">
        <v>22.61</v>
      </c>
      <c r="O76">
        <v>22.61</v>
      </c>
      <c r="P76">
        <v>22.61</v>
      </c>
      <c r="Q76">
        <v>22.61</v>
      </c>
      <c r="R76">
        <v>67.83</v>
      </c>
      <c r="S76">
        <v>45.22</v>
      </c>
      <c r="T76">
        <v>2</v>
      </c>
      <c r="U76">
        <v>200</v>
      </c>
      <c r="V76">
        <v>0.8</v>
      </c>
      <c r="W76">
        <v>0.8</v>
      </c>
      <c r="X76">
        <v>0.8</v>
      </c>
      <c r="Y76">
        <v>0.8</v>
      </c>
      <c r="Z76">
        <v>2.4</v>
      </c>
      <c r="AA76">
        <v>1.6</v>
      </c>
      <c r="AB76">
        <v>2</v>
      </c>
      <c r="AC76">
        <v>200.00000000000011</v>
      </c>
      <c r="AD76" t="s">
        <v>2322</v>
      </c>
      <c r="AE76" t="s">
        <v>2322</v>
      </c>
      <c r="AF76" t="s">
        <v>2322</v>
      </c>
    </row>
    <row r="77" spans="1:32" x14ac:dyDescent="0.35">
      <c r="A77" t="s">
        <v>39</v>
      </c>
      <c r="B77">
        <v>481639</v>
      </c>
      <c r="C77" t="s">
        <v>72</v>
      </c>
      <c r="D77" t="s">
        <v>888</v>
      </c>
      <c r="E77" t="s">
        <v>215</v>
      </c>
      <c r="F77">
        <v>67.8</v>
      </c>
      <c r="G77">
        <v>22.37</v>
      </c>
      <c r="H77">
        <v>67.569999999999993</v>
      </c>
      <c r="I77">
        <v>44.97</v>
      </c>
      <c r="J77">
        <v>134.91</v>
      </c>
      <c r="K77">
        <v>67.11</v>
      </c>
      <c r="L77">
        <v>0.98982300884955765</v>
      </c>
      <c r="M77">
        <v>98.982300884955762</v>
      </c>
      <c r="N77">
        <v>72.77</v>
      </c>
      <c r="O77">
        <v>24.01</v>
      </c>
      <c r="P77">
        <v>72.52</v>
      </c>
      <c r="Q77">
        <v>48.27</v>
      </c>
      <c r="R77">
        <v>144.80000000000001</v>
      </c>
      <c r="S77">
        <v>72.030000000000015</v>
      </c>
      <c r="T77">
        <v>0.98983097430259748</v>
      </c>
      <c r="U77">
        <v>98.983097430259747</v>
      </c>
      <c r="V77">
        <v>4.07</v>
      </c>
      <c r="W77">
        <v>1.34</v>
      </c>
      <c r="X77">
        <v>4.05</v>
      </c>
      <c r="Y77">
        <v>2.7</v>
      </c>
      <c r="Z77">
        <v>8.09</v>
      </c>
      <c r="AA77">
        <v>4.0199999999999996</v>
      </c>
      <c r="AB77">
        <v>0.98771498771498756</v>
      </c>
      <c r="AC77">
        <v>98.771498771498756</v>
      </c>
      <c r="AD77" t="s">
        <v>2322</v>
      </c>
      <c r="AE77" t="s">
        <v>2322</v>
      </c>
      <c r="AF77" t="s">
        <v>2322</v>
      </c>
    </row>
    <row r="78" spans="1:32" x14ac:dyDescent="0.35">
      <c r="A78" t="s">
        <v>39</v>
      </c>
      <c r="B78">
        <v>508440</v>
      </c>
      <c r="C78" t="s">
        <v>72</v>
      </c>
      <c r="D78" t="s">
        <v>905</v>
      </c>
      <c r="E78" t="s">
        <v>215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D78" t="s">
        <v>2321</v>
      </c>
      <c r="AE78" t="s">
        <v>2321</v>
      </c>
      <c r="AF78" t="s">
        <v>2321</v>
      </c>
    </row>
    <row r="79" spans="1:32" x14ac:dyDescent="0.35">
      <c r="A79" t="s">
        <v>39</v>
      </c>
      <c r="B79">
        <v>535022</v>
      </c>
      <c r="C79" t="s">
        <v>72</v>
      </c>
      <c r="D79" t="s">
        <v>907</v>
      </c>
      <c r="E79" t="s">
        <v>215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D79" t="s">
        <v>2321</v>
      </c>
      <c r="AE79" t="s">
        <v>2321</v>
      </c>
      <c r="AF79" t="s">
        <v>2321</v>
      </c>
    </row>
    <row r="80" spans="1:32" x14ac:dyDescent="0.35">
      <c r="A80" t="s">
        <v>39</v>
      </c>
      <c r="B80">
        <v>535031</v>
      </c>
      <c r="C80" t="s">
        <v>72</v>
      </c>
      <c r="D80" t="s">
        <v>907</v>
      </c>
      <c r="E80" t="s">
        <v>215</v>
      </c>
      <c r="F80">
        <v>158.19999999999999</v>
      </c>
      <c r="G80">
        <v>270.89999999999998</v>
      </c>
      <c r="H80">
        <v>315.93</v>
      </c>
      <c r="I80">
        <v>451.53</v>
      </c>
      <c r="J80">
        <v>1038.3599999999999</v>
      </c>
      <c r="K80">
        <v>880.15999999999985</v>
      </c>
      <c r="L80">
        <v>5.563590391908976</v>
      </c>
      <c r="M80">
        <v>556.35903919089765</v>
      </c>
      <c r="N80">
        <v>169.8</v>
      </c>
      <c r="O80">
        <v>290.77</v>
      </c>
      <c r="P80">
        <v>339.09</v>
      </c>
      <c r="Q80">
        <v>484.64</v>
      </c>
      <c r="R80">
        <v>1114.5</v>
      </c>
      <c r="S80">
        <v>944.7</v>
      </c>
      <c r="T80">
        <v>5.5636042402826851</v>
      </c>
      <c r="U80">
        <v>556.36042402826854</v>
      </c>
      <c r="V80">
        <v>9.49</v>
      </c>
      <c r="W80">
        <v>16.25</v>
      </c>
      <c r="X80">
        <v>18.96</v>
      </c>
      <c r="Y80">
        <v>27.09</v>
      </c>
      <c r="Z80">
        <v>62.3</v>
      </c>
      <c r="AA80">
        <v>52.81</v>
      </c>
      <c r="AB80">
        <v>5.5648050579557422</v>
      </c>
      <c r="AC80">
        <v>556.48050579557423</v>
      </c>
      <c r="AD80" t="s">
        <v>2322</v>
      </c>
      <c r="AE80" t="s">
        <v>2322</v>
      </c>
      <c r="AF80" t="s">
        <v>2322</v>
      </c>
    </row>
    <row r="81" spans="1:32" x14ac:dyDescent="0.35">
      <c r="A81" t="s">
        <v>39</v>
      </c>
      <c r="B81">
        <v>557435</v>
      </c>
      <c r="C81" t="s">
        <v>72</v>
      </c>
      <c r="D81" t="s">
        <v>929</v>
      </c>
      <c r="E81" t="s">
        <v>215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D81" t="s">
        <v>2321</v>
      </c>
      <c r="AE81" t="s">
        <v>2321</v>
      </c>
      <c r="AF81" t="s">
        <v>2321</v>
      </c>
    </row>
    <row r="82" spans="1:32" x14ac:dyDescent="0.35">
      <c r="A82" t="s">
        <v>39</v>
      </c>
      <c r="B82">
        <v>557442</v>
      </c>
      <c r="C82" t="s">
        <v>72</v>
      </c>
      <c r="D82" t="s">
        <v>932</v>
      </c>
      <c r="E82" t="s">
        <v>215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D82" t="s">
        <v>2321</v>
      </c>
      <c r="AE82" t="s">
        <v>2321</v>
      </c>
      <c r="AF82" t="s">
        <v>2321</v>
      </c>
    </row>
    <row r="83" spans="1:32" x14ac:dyDescent="0.35">
      <c r="A83" t="s">
        <v>39</v>
      </c>
      <c r="B83">
        <v>573186</v>
      </c>
      <c r="C83" t="s">
        <v>72</v>
      </c>
      <c r="D83" t="s">
        <v>934</v>
      </c>
      <c r="E83" t="s">
        <v>74</v>
      </c>
      <c r="F83">
        <v>0</v>
      </c>
      <c r="G83">
        <v>5.86</v>
      </c>
      <c r="H83">
        <v>5.86</v>
      </c>
      <c r="I83">
        <v>5.86</v>
      </c>
      <c r="J83">
        <v>17.579999999999998</v>
      </c>
      <c r="K83">
        <v>17.579999999999998</v>
      </c>
      <c r="N83">
        <v>0</v>
      </c>
      <c r="O83">
        <v>15.24</v>
      </c>
      <c r="P83">
        <v>15.24</v>
      </c>
      <c r="Q83">
        <v>15.24</v>
      </c>
      <c r="R83">
        <v>45.72</v>
      </c>
      <c r="S83">
        <v>45.72</v>
      </c>
      <c r="V83">
        <v>0</v>
      </c>
      <c r="W83">
        <v>0.9</v>
      </c>
      <c r="X83">
        <v>0.9</v>
      </c>
      <c r="Y83">
        <v>0.9</v>
      </c>
      <c r="Z83">
        <v>2.7</v>
      </c>
      <c r="AA83">
        <v>2.7</v>
      </c>
      <c r="AD83" t="s">
        <v>2321</v>
      </c>
      <c r="AE83" t="s">
        <v>2321</v>
      </c>
      <c r="AF83" t="s">
        <v>2321</v>
      </c>
    </row>
    <row r="84" spans="1:32" x14ac:dyDescent="0.35">
      <c r="A84" t="s">
        <v>39</v>
      </c>
      <c r="B84">
        <v>583229</v>
      </c>
      <c r="C84" t="s">
        <v>72</v>
      </c>
      <c r="D84" t="s">
        <v>942</v>
      </c>
      <c r="E84" t="s">
        <v>943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D84" t="s">
        <v>2321</v>
      </c>
      <c r="AE84" t="s">
        <v>2321</v>
      </c>
      <c r="AF84" t="s">
        <v>2321</v>
      </c>
    </row>
    <row r="85" spans="1:32" x14ac:dyDescent="0.35">
      <c r="A85" t="s">
        <v>39</v>
      </c>
      <c r="B85">
        <v>586844</v>
      </c>
      <c r="C85" t="s">
        <v>72</v>
      </c>
      <c r="D85" t="s">
        <v>945</v>
      </c>
      <c r="E85" t="s">
        <v>74</v>
      </c>
      <c r="F85">
        <v>29.5</v>
      </c>
      <c r="G85">
        <v>29.5</v>
      </c>
      <c r="H85">
        <v>29.33</v>
      </c>
      <c r="I85">
        <v>29.33</v>
      </c>
      <c r="J85">
        <v>88.16</v>
      </c>
      <c r="K85">
        <v>58.66</v>
      </c>
      <c r="L85">
        <v>1.988474576271186</v>
      </c>
      <c r="M85">
        <v>198.84745762711859</v>
      </c>
      <c r="N85">
        <v>79.05</v>
      </c>
      <c r="O85">
        <v>79.05</v>
      </c>
      <c r="P85">
        <v>78.599999999999994</v>
      </c>
      <c r="Q85">
        <v>78.599999999999994</v>
      </c>
      <c r="R85">
        <v>236.25</v>
      </c>
      <c r="S85">
        <v>157.19999999999999</v>
      </c>
      <c r="T85">
        <v>1.988614800759013</v>
      </c>
      <c r="U85">
        <v>198.86148007590131</v>
      </c>
      <c r="V85">
        <v>3.54</v>
      </c>
      <c r="W85">
        <v>3.54</v>
      </c>
      <c r="X85">
        <v>3.52</v>
      </c>
      <c r="Y85">
        <v>3.52</v>
      </c>
      <c r="Z85">
        <v>10.58</v>
      </c>
      <c r="AA85">
        <v>7.04</v>
      </c>
      <c r="AB85">
        <v>1.9887005649717511</v>
      </c>
      <c r="AC85">
        <v>198.87005649717511</v>
      </c>
      <c r="AD85" t="s">
        <v>2322</v>
      </c>
      <c r="AE85" t="s">
        <v>2322</v>
      </c>
      <c r="AF85" t="s">
        <v>2322</v>
      </c>
    </row>
    <row r="86" spans="1:32" x14ac:dyDescent="0.35">
      <c r="A86" t="s">
        <v>39</v>
      </c>
      <c r="B86">
        <v>586869</v>
      </c>
      <c r="C86" t="s">
        <v>72</v>
      </c>
      <c r="D86" t="s">
        <v>957</v>
      </c>
      <c r="E86" t="s">
        <v>943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D86" t="s">
        <v>2321</v>
      </c>
      <c r="AE86" t="s">
        <v>2321</v>
      </c>
      <c r="AF86" t="s">
        <v>2321</v>
      </c>
    </row>
    <row r="87" spans="1:32" x14ac:dyDescent="0.35">
      <c r="A87" t="s">
        <v>39</v>
      </c>
      <c r="B87">
        <v>587585</v>
      </c>
      <c r="C87" t="s">
        <v>72</v>
      </c>
      <c r="D87" t="s">
        <v>959</v>
      </c>
      <c r="E87" t="s">
        <v>74</v>
      </c>
      <c r="F87">
        <v>39.33</v>
      </c>
      <c r="G87">
        <v>39.33</v>
      </c>
      <c r="H87">
        <v>39.22</v>
      </c>
      <c r="I87">
        <v>39.22</v>
      </c>
      <c r="J87">
        <v>117.77</v>
      </c>
      <c r="K87">
        <v>78.44</v>
      </c>
      <c r="L87">
        <v>1.9944063056191199</v>
      </c>
      <c r="M87">
        <v>199.440630561912</v>
      </c>
      <c r="N87">
        <v>49.29</v>
      </c>
      <c r="O87">
        <v>49.29</v>
      </c>
      <c r="P87">
        <v>49.16</v>
      </c>
      <c r="Q87">
        <v>49.16</v>
      </c>
      <c r="R87">
        <v>147.61000000000001</v>
      </c>
      <c r="S87">
        <v>98.32</v>
      </c>
      <c r="T87">
        <v>1.9947250963684311</v>
      </c>
      <c r="U87">
        <v>199.47250963684311</v>
      </c>
      <c r="V87">
        <v>2.36</v>
      </c>
      <c r="W87">
        <v>2.36</v>
      </c>
      <c r="X87">
        <v>2.35</v>
      </c>
      <c r="Y87">
        <v>2.35</v>
      </c>
      <c r="Z87">
        <v>7.06</v>
      </c>
      <c r="AA87">
        <v>4.7000000000000011</v>
      </c>
      <c r="AB87">
        <v>1.991525423728814</v>
      </c>
      <c r="AC87">
        <v>199.15254237288141</v>
      </c>
      <c r="AD87" t="s">
        <v>2322</v>
      </c>
      <c r="AE87" t="s">
        <v>2322</v>
      </c>
      <c r="AF87" t="s">
        <v>2322</v>
      </c>
    </row>
    <row r="88" spans="1:32" x14ac:dyDescent="0.35">
      <c r="A88" t="s">
        <v>39</v>
      </c>
      <c r="B88">
        <v>633477</v>
      </c>
      <c r="C88" t="s">
        <v>72</v>
      </c>
      <c r="D88" t="s">
        <v>970</v>
      </c>
      <c r="E88" t="s">
        <v>215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D88" t="s">
        <v>2321</v>
      </c>
      <c r="AE88" t="s">
        <v>2321</v>
      </c>
      <c r="AF88" t="s">
        <v>2321</v>
      </c>
    </row>
    <row r="89" spans="1:32" x14ac:dyDescent="0.35">
      <c r="A89" t="s">
        <v>39</v>
      </c>
      <c r="B89">
        <v>724228</v>
      </c>
      <c r="C89" t="s">
        <v>72</v>
      </c>
      <c r="D89" t="s">
        <v>976</v>
      </c>
      <c r="E89" t="s">
        <v>215</v>
      </c>
      <c r="F89">
        <v>16</v>
      </c>
      <c r="G89">
        <v>16.73</v>
      </c>
      <c r="H89">
        <v>16.73</v>
      </c>
      <c r="I89">
        <v>32.729999999999997</v>
      </c>
      <c r="J89">
        <v>66.19</v>
      </c>
      <c r="K89">
        <v>50.19</v>
      </c>
      <c r="L89">
        <v>3.1368749999999999</v>
      </c>
      <c r="M89">
        <v>313.6875</v>
      </c>
      <c r="N89">
        <v>58.35</v>
      </c>
      <c r="O89">
        <v>61.01</v>
      </c>
      <c r="P89">
        <v>61.01</v>
      </c>
      <c r="Q89">
        <v>119.36</v>
      </c>
      <c r="R89">
        <v>241.38</v>
      </c>
      <c r="S89">
        <v>183.03</v>
      </c>
      <c r="T89">
        <v>3.1367609254498712</v>
      </c>
      <c r="U89">
        <v>313.67609254498711</v>
      </c>
      <c r="V89">
        <v>1.39</v>
      </c>
      <c r="W89">
        <v>1.45</v>
      </c>
      <c r="X89">
        <v>1.45</v>
      </c>
      <c r="Y89">
        <v>2.84</v>
      </c>
      <c r="Z89">
        <v>5.74</v>
      </c>
      <c r="AA89">
        <v>4.3500000000000014</v>
      </c>
      <c r="AB89">
        <v>3.1294964028776979</v>
      </c>
      <c r="AC89">
        <v>312.9496402877698</v>
      </c>
      <c r="AD89" t="s">
        <v>2322</v>
      </c>
      <c r="AE89" t="s">
        <v>2322</v>
      </c>
      <c r="AF89" t="s">
        <v>2322</v>
      </c>
    </row>
    <row r="90" spans="1:32" x14ac:dyDescent="0.35">
      <c r="A90" t="s">
        <v>39</v>
      </c>
      <c r="B90">
        <v>724788</v>
      </c>
      <c r="C90" t="s">
        <v>72</v>
      </c>
      <c r="D90" t="s">
        <v>989</v>
      </c>
      <c r="E90" t="s">
        <v>215</v>
      </c>
      <c r="F90">
        <v>813.6</v>
      </c>
      <c r="G90">
        <v>248.6</v>
      </c>
      <c r="H90">
        <v>768.19</v>
      </c>
      <c r="I90">
        <v>722.99</v>
      </c>
      <c r="J90">
        <v>1739.78</v>
      </c>
      <c r="K90">
        <v>926.18000000000018</v>
      </c>
      <c r="L90">
        <v>1.138372664700098</v>
      </c>
      <c r="M90">
        <v>113.83726647000989</v>
      </c>
      <c r="N90">
        <v>894.96</v>
      </c>
      <c r="O90">
        <v>273.45999999999998</v>
      </c>
      <c r="P90">
        <v>845.01</v>
      </c>
      <c r="Q90">
        <v>795.29</v>
      </c>
      <c r="R90">
        <v>1913.76</v>
      </c>
      <c r="S90">
        <v>1018.8</v>
      </c>
      <c r="T90">
        <v>1.1383748994368461</v>
      </c>
      <c r="U90">
        <v>113.8374899436846</v>
      </c>
      <c r="V90">
        <v>48.82</v>
      </c>
      <c r="W90">
        <v>14.92</v>
      </c>
      <c r="X90">
        <v>46.09</v>
      </c>
      <c r="Y90">
        <v>43.38</v>
      </c>
      <c r="Z90">
        <v>104.39</v>
      </c>
      <c r="AA90">
        <v>55.570000000000007</v>
      </c>
      <c r="AB90">
        <v>1.1382630069643589</v>
      </c>
      <c r="AC90">
        <v>113.82630069643589</v>
      </c>
      <c r="AD90" t="s">
        <v>2322</v>
      </c>
      <c r="AE90" t="s">
        <v>2322</v>
      </c>
      <c r="AF90" t="s">
        <v>2322</v>
      </c>
    </row>
    <row r="91" spans="1:32" x14ac:dyDescent="0.35">
      <c r="A91" t="s">
        <v>39</v>
      </c>
      <c r="B91">
        <v>736193</v>
      </c>
      <c r="C91" t="s">
        <v>72</v>
      </c>
      <c r="D91" t="s">
        <v>1011</v>
      </c>
      <c r="E91" t="s">
        <v>1012</v>
      </c>
      <c r="F91">
        <v>408.34</v>
      </c>
      <c r="G91">
        <v>490.68</v>
      </c>
      <c r="H91">
        <v>656.84</v>
      </c>
      <c r="I91">
        <v>656.84</v>
      </c>
      <c r="J91">
        <v>1804.36</v>
      </c>
      <c r="K91">
        <v>1396.02</v>
      </c>
      <c r="L91">
        <v>3.418768673164521</v>
      </c>
      <c r="M91">
        <v>341.87686731645198</v>
      </c>
      <c r="N91">
        <v>137.84</v>
      </c>
      <c r="O91">
        <v>165.64</v>
      </c>
      <c r="P91">
        <v>221.73</v>
      </c>
      <c r="Q91">
        <v>221.73</v>
      </c>
      <c r="R91">
        <v>609.1</v>
      </c>
      <c r="S91">
        <v>471.26</v>
      </c>
      <c r="T91">
        <v>3.4188914683691229</v>
      </c>
      <c r="U91">
        <v>341.88914683691229</v>
      </c>
      <c r="V91">
        <v>2.71</v>
      </c>
      <c r="W91">
        <v>3.26</v>
      </c>
      <c r="X91">
        <v>4.3600000000000003</v>
      </c>
      <c r="Y91">
        <v>4.3600000000000003</v>
      </c>
      <c r="Z91">
        <v>11.98</v>
      </c>
      <c r="AA91">
        <v>9.27</v>
      </c>
      <c r="AB91">
        <v>3.4206642066420661</v>
      </c>
      <c r="AC91">
        <v>342.06642066420659</v>
      </c>
      <c r="AD91" t="s">
        <v>2322</v>
      </c>
      <c r="AE91" t="s">
        <v>2322</v>
      </c>
      <c r="AF91" t="s">
        <v>2322</v>
      </c>
    </row>
    <row r="92" spans="1:32" x14ac:dyDescent="0.35">
      <c r="A92" t="s">
        <v>39</v>
      </c>
      <c r="B92">
        <v>742118</v>
      </c>
      <c r="C92" t="s">
        <v>72</v>
      </c>
      <c r="D92" t="s">
        <v>1028</v>
      </c>
      <c r="E92" t="s">
        <v>1029</v>
      </c>
      <c r="N92">
        <v>671.64</v>
      </c>
      <c r="O92">
        <v>792.43</v>
      </c>
      <c r="P92">
        <v>797.14</v>
      </c>
      <c r="Q92">
        <v>797.14</v>
      </c>
      <c r="R92">
        <v>2386.71</v>
      </c>
      <c r="S92">
        <v>1715.07</v>
      </c>
      <c r="T92">
        <v>2.553555476147936</v>
      </c>
      <c r="U92">
        <v>255.35554761479361</v>
      </c>
      <c r="V92">
        <v>107.35</v>
      </c>
      <c r="W92">
        <v>126.66</v>
      </c>
      <c r="X92">
        <v>127.41</v>
      </c>
      <c r="Y92">
        <v>127.41</v>
      </c>
      <c r="Z92">
        <v>381.48</v>
      </c>
      <c r="AA92">
        <v>274.13</v>
      </c>
      <c r="AB92">
        <v>2.5536096879366559</v>
      </c>
      <c r="AC92">
        <v>255.36096879366559</v>
      </c>
      <c r="AD92" t="s">
        <v>2321</v>
      </c>
      <c r="AE92" t="s">
        <v>2322</v>
      </c>
      <c r="AF92" t="s">
        <v>2322</v>
      </c>
    </row>
    <row r="93" spans="1:32" x14ac:dyDescent="0.35">
      <c r="A93" t="s">
        <v>39</v>
      </c>
      <c r="B93">
        <v>742119</v>
      </c>
      <c r="C93" t="s">
        <v>72</v>
      </c>
      <c r="D93" t="s">
        <v>1048</v>
      </c>
      <c r="E93" t="s">
        <v>1029</v>
      </c>
      <c r="F93">
        <v>411.17</v>
      </c>
      <c r="G93">
        <v>491.9</v>
      </c>
      <c r="H93">
        <v>491.39</v>
      </c>
      <c r="I93">
        <v>491.39</v>
      </c>
      <c r="J93">
        <v>1474.68</v>
      </c>
      <c r="K93">
        <v>1063.51</v>
      </c>
      <c r="L93">
        <v>2.586545711019772</v>
      </c>
      <c r="M93">
        <v>258.65457110197718</v>
      </c>
      <c r="N93">
        <v>196.09</v>
      </c>
      <c r="O93">
        <v>234.59</v>
      </c>
      <c r="P93">
        <v>234.35</v>
      </c>
      <c r="Q93">
        <v>234.35</v>
      </c>
      <c r="R93">
        <v>703.29</v>
      </c>
      <c r="S93">
        <v>507.19999999999987</v>
      </c>
      <c r="T93">
        <v>2.586567392523841</v>
      </c>
      <c r="U93">
        <v>258.65673925238411</v>
      </c>
      <c r="V93">
        <v>11.31</v>
      </c>
      <c r="W93">
        <v>13.53</v>
      </c>
      <c r="X93">
        <v>13.51</v>
      </c>
      <c r="Y93">
        <v>13.51</v>
      </c>
      <c r="Z93">
        <v>40.549999999999997</v>
      </c>
      <c r="AA93">
        <v>29.239999999999991</v>
      </c>
      <c r="AB93">
        <v>2.585322723253757</v>
      </c>
      <c r="AC93">
        <v>258.53227232537569</v>
      </c>
      <c r="AD93" t="s">
        <v>2322</v>
      </c>
      <c r="AE93" t="s">
        <v>2322</v>
      </c>
      <c r="AF93" t="s">
        <v>2322</v>
      </c>
    </row>
    <row r="94" spans="1:32" x14ac:dyDescent="0.35">
      <c r="A94" t="s">
        <v>39</v>
      </c>
      <c r="B94">
        <v>509684</v>
      </c>
      <c r="C94" t="s">
        <v>72</v>
      </c>
      <c r="D94" t="s">
        <v>1064</v>
      </c>
      <c r="E94" t="s">
        <v>568</v>
      </c>
      <c r="F94">
        <v>90</v>
      </c>
      <c r="G94">
        <v>88.27</v>
      </c>
      <c r="H94">
        <v>116.1</v>
      </c>
      <c r="I94">
        <v>116.1</v>
      </c>
      <c r="J94">
        <v>320.47000000000003</v>
      </c>
      <c r="K94">
        <v>230.47</v>
      </c>
      <c r="L94">
        <v>2.560777777777778</v>
      </c>
      <c r="M94">
        <v>256.07777777777778</v>
      </c>
      <c r="N94">
        <v>334.51</v>
      </c>
      <c r="O94">
        <v>328.08</v>
      </c>
      <c r="P94">
        <v>431.5</v>
      </c>
      <c r="Q94">
        <v>431.5</v>
      </c>
      <c r="R94">
        <v>1191.08</v>
      </c>
      <c r="S94">
        <v>856.56999999999994</v>
      </c>
      <c r="T94">
        <v>2.5606708319631699</v>
      </c>
      <c r="U94">
        <v>256.06708319631701</v>
      </c>
      <c r="V94">
        <v>1.46</v>
      </c>
      <c r="W94">
        <v>1.43</v>
      </c>
      <c r="X94">
        <v>1.88</v>
      </c>
      <c r="Y94">
        <v>1.88</v>
      </c>
      <c r="Z94">
        <v>5.19</v>
      </c>
      <c r="AA94">
        <v>3.73</v>
      </c>
      <c r="AB94">
        <v>2.554794520547945</v>
      </c>
      <c r="AC94">
        <v>255.47945205479451</v>
      </c>
      <c r="AD94" t="s">
        <v>2322</v>
      </c>
      <c r="AE94" t="s">
        <v>2322</v>
      </c>
      <c r="AF94" t="s">
        <v>2322</v>
      </c>
    </row>
    <row r="95" spans="1:32" x14ac:dyDescent="0.35">
      <c r="A95" t="s">
        <v>39</v>
      </c>
      <c r="B95">
        <v>509685</v>
      </c>
      <c r="C95" t="s">
        <v>72</v>
      </c>
      <c r="D95" t="s">
        <v>1078</v>
      </c>
      <c r="E95" t="s">
        <v>568</v>
      </c>
      <c r="F95">
        <v>27</v>
      </c>
      <c r="G95">
        <v>18</v>
      </c>
      <c r="H95">
        <v>17.48</v>
      </c>
      <c r="I95">
        <v>17.48</v>
      </c>
      <c r="J95">
        <v>52.960000000000008</v>
      </c>
      <c r="K95">
        <v>25.960000000000012</v>
      </c>
      <c r="L95">
        <v>0.96148148148148183</v>
      </c>
      <c r="M95">
        <v>96.148148148148181</v>
      </c>
      <c r="N95">
        <v>331.37</v>
      </c>
      <c r="O95">
        <v>220.92</v>
      </c>
      <c r="P95">
        <v>214.47</v>
      </c>
      <c r="Q95">
        <v>214.47</v>
      </c>
      <c r="R95">
        <v>649.86</v>
      </c>
      <c r="S95">
        <v>318.49</v>
      </c>
      <c r="T95">
        <v>0.96113106195491449</v>
      </c>
      <c r="U95">
        <v>96.113106195491454</v>
      </c>
      <c r="V95">
        <v>1.45</v>
      </c>
      <c r="W95">
        <v>0.97</v>
      </c>
      <c r="X95">
        <v>0.94</v>
      </c>
      <c r="Y95">
        <v>0.94</v>
      </c>
      <c r="Z95">
        <v>2.85</v>
      </c>
      <c r="AA95">
        <v>1.4</v>
      </c>
      <c r="AB95">
        <v>0.96551724137931005</v>
      </c>
      <c r="AC95">
        <v>96.551724137931004</v>
      </c>
      <c r="AD95" t="s">
        <v>2322</v>
      </c>
      <c r="AE95" t="s">
        <v>2322</v>
      </c>
      <c r="AF95" t="s">
        <v>2322</v>
      </c>
    </row>
    <row r="96" spans="1:32" x14ac:dyDescent="0.35">
      <c r="A96" t="s">
        <v>39</v>
      </c>
      <c r="B96">
        <v>509686</v>
      </c>
      <c r="C96" t="s">
        <v>72</v>
      </c>
      <c r="D96" t="s">
        <v>1088</v>
      </c>
      <c r="E96" t="s">
        <v>568</v>
      </c>
      <c r="F96">
        <v>40</v>
      </c>
      <c r="G96">
        <v>40</v>
      </c>
      <c r="H96">
        <v>38.9</v>
      </c>
      <c r="I96">
        <v>38.9</v>
      </c>
      <c r="J96">
        <v>117.8</v>
      </c>
      <c r="K96">
        <v>77.800000000000011</v>
      </c>
      <c r="L96">
        <v>1.9450000000000001</v>
      </c>
      <c r="M96">
        <v>194.5</v>
      </c>
      <c r="N96">
        <v>171.78</v>
      </c>
      <c r="O96">
        <v>171.78</v>
      </c>
      <c r="P96">
        <v>167.05</v>
      </c>
      <c r="Q96">
        <v>167.05</v>
      </c>
      <c r="R96">
        <v>505.88000000000011</v>
      </c>
      <c r="S96">
        <v>334.1</v>
      </c>
      <c r="T96">
        <v>1.944929561066481</v>
      </c>
      <c r="U96">
        <v>194.49295610664811</v>
      </c>
      <c r="V96">
        <v>0.71</v>
      </c>
      <c r="W96">
        <v>0.71</v>
      </c>
      <c r="X96">
        <v>0.69</v>
      </c>
      <c r="Y96">
        <v>0.69</v>
      </c>
      <c r="Z96">
        <v>2.09</v>
      </c>
      <c r="AA96">
        <v>1.38</v>
      </c>
      <c r="AB96">
        <v>1.943661971830986</v>
      </c>
      <c r="AC96">
        <v>194.36619718309859</v>
      </c>
      <c r="AD96" t="s">
        <v>2322</v>
      </c>
      <c r="AE96" t="s">
        <v>2322</v>
      </c>
      <c r="AF96" t="s">
        <v>2322</v>
      </c>
    </row>
    <row r="97" spans="1:32" x14ac:dyDescent="0.35">
      <c r="A97" t="s">
        <v>39</v>
      </c>
      <c r="B97">
        <v>509687</v>
      </c>
      <c r="C97" t="s">
        <v>72</v>
      </c>
      <c r="D97" t="s">
        <v>1101</v>
      </c>
      <c r="E97" t="s">
        <v>568</v>
      </c>
      <c r="F97">
        <v>12</v>
      </c>
      <c r="G97">
        <v>11.79</v>
      </c>
      <c r="H97">
        <v>7.94</v>
      </c>
      <c r="I97">
        <v>7.94</v>
      </c>
      <c r="J97">
        <v>27.67</v>
      </c>
      <c r="K97">
        <v>15.67</v>
      </c>
      <c r="L97">
        <v>1.3058333333333341</v>
      </c>
      <c r="M97">
        <v>130.5833333333334</v>
      </c>
      <c r="N97">
        <v>171.78</v>
      </c>
      <c r="O97">
        <v>168.81</v>
      </c>
      <c r="P97">
        <v>113.66</v>
      </c>
      <c r="Q97">
        <v>113.66</v>
      </c>
      <c r="R97">
        <v>396.13</v>
      </c>
      <c r="S97">
        <v>224.35</v>
      </c>
      <c r="T97">
        <v>1.3060309698451511</v>
      </c>
      <c r="U97">
        <v>130.6030969845151</v>
      </c>
      <c r="V97">
        <v>0.71</v>
      </c>
      <c r="W97">
        <v>0.7</v>
      </c>
      <c r="X97">
        <v>0.47</v>
      </c>
      <c r="Y97">
        <v>0.47</v>
      </c>
      <c r="Z97">
        <v>1.64</v>
      </c>
      <c r="AA97">
        <v>0.92999999999999994</v>
      </c>
      <c r="AB97">
        <v>1.3098591549295771</v>
      </c>
      <c r="AC97">
        <v>130.98591549295779</v>
      </c>
      <c r="AD97" t="s">
        <v>2322</v>
      </c>
      <c r="AE97" t="s">
        <v>2322</v>
      </c>
      <c r="AF97" t="s">
        <v>2322</v>
      </c>
    </row>
    <row r="98" spans="1:32" x14ac:dyDescent="0.35">
      <c r="A98" t="s">
        <v>39</v>
      </c>
      <c r="B98">
        <v>898345</v>
      </c>
      <c r="C98" t="s">
        <v>72</v>
      </c>
      <c r="D98" t="s">
        <v>1111</v>
      </c>
      <c r="E98" t="s">
        <v>568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D98" t="s">
        <v>2321</v>
      </c>
      <c r="AE98" t="s">
        <v>2321</v>
      </c>
      <c r="AF98" t="s">
        <v>2321</v>
      </c>
    </row>
    <row r="99" spans="1:32" x14ac:dyDescent="0.35">
      <c r="A99" t="s">
        <v>39</v>
      </c>
      <c r="B99">
        <v>899622</v>
      </c>
      <c r="C99" t="s">
        <v>72</v>
      </c>
      <c r="D99" t="s">
        <v>1116</v>
      </c>
      <c r="E99" t="s">
        <v>568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D99" t="s">
        <v>2321</v>
      </c>
      <c r="AE99" t="s">
        <v>2321</v>
      </c>
      <c r="AF99" t="s">
        <v>2321</v>
      </c>
    </row>
    <row r="100" spans="1:32" x14ac:dyDescent="0.35">
      <c r="A100" t="s">
        <v>39</v>
      </c>
      <c r="B100">
        <v>899623</v>
      </c>
      <c r="C100" t="s">
        <v>72</v>
      </c>
      <c r="D100" t="s">
        <v>1121</v>
      </c>
      <c r="E100" t="s">
        <v>568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D100" t="s">
        <v>2321</v>
      </c>
      <c r="AE100" t="s">
        <v>2321</v>
      </c>
      <c r="AF100" t="s">
        <v>2321</v>
      </c>
    </row>
    <row r="101" spans="1:32" x14ac:dyDescent="0.35">
      <c r="A101" t="s">
        <v>39</v>
      </c>
      <c r="B101">
        <v>899624</v>
      </c>
      <c r="C101" t="s">
        <v>72</v>
      </c>
      <c r="D101" t="s">
        <v>1125</v>
      </c>
      <c r="E101" t="s">
        <v>568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D101" t="s">
        <v>2321</v>
      </c>
      <c r="AE101" t="s">
        <v>2321</v>
      </c>
      <c r="AF101" t="s">
        <v>2321</v>
      </c>
    </row>
    <row r="102" spans="1:32" x14ac:dyDescent="0.35">
      <c r="A102" t="s">
        <v>39</v>
      </c>
      <c r="B102">
        <v>546572</v>
      </c>
      <c r="C102" t="s">
        <v>72</v>
      </c>
      <c r="D102" t="s">
        <v>1130</v>
      </c>
      <c r="E102" t="s">
        <v>568</v>
      </c>
      <c r="F102">
        <v>40</v>
      </c>
      <c r="G102">
        <v>48.84</v>
      </c>
      <c r="H102">
        <v>47.47</v>
      </c>
      <c r="I102">
        <v>47.47</v>
      </c>
      <c r="J102">
        <v>143.78</v>
      </c>
      <c r="K102">
        <v>103.78</v>
      </c>
      <c r="L102">
        <v>2.5945</v>
      </c>
      <c r="M102">
        <v>259.45</v>
      </c>
      <c r="N102">
        <v>175.16</v>
      </c>
      <c r="O102">
        <v>213.88</v>
      </c>
      <c r="P102">
        <v>207.87</v>
      </c>
      <c r="Q102">
        <v>207.87</v>
      </c>
      <c r="R102">
        <v>629.62</v>
      </c>
      <c r="S102">
        <v>454.46</v>
      </c>
      <c r="T102">
        <v>2.594542132907057</v>
      </c>
      <c r="U102">
        <v>259.45421329070558</v>
      </c>
      <c r="V102">
        <v>0.96</v>
      </c>
      <c r="W102">
        <v>1.17</v>
      </c>
      <c r="X102">
        <v>1.1399999999999999</v>
      </c>
      <c r="Y102">
        <v>1.1399999999999999</v>
      </c>
      <c r="Z102">
        <v>3.4499999999999988</v>
      </c>
      <c r="AA102">
        <v>2.4899999999999989</v>
      </c>
      <c r="AB102">
        <v>2.59375</v>
      </c>
      <c r="AC102">
        <v>259.37499999999989</v>
      </c>
      <c r="AD102" t="s">
        <v>2322</v>
      </c>
      <c r="AE102" t="s">
        <v>2322</v>
      </c>
      <c r="AF102" t="s">
        <v>2322</v>
      </c>
    </row>
    <row r="103" spans="1:32" x14ac:dyDescent="0.35">
      <c r="A103" t="s">
        <v>39</v>
      </c>
      <c r="B103">
        <v>546579</v>
      </c>
      <c r="C103" t="s">
        <v>72</v>
      </c>
      <c r="D103" t="s">
        <v>1143</v>
      </c>
      <c r="E103" t="s">
        <v>568</v>
      </c>
      <c r="F103">
        <v>30</v>
      </c>
      <c r="G103">
        <v>25</v>
      </c>
      <c r="H103">
        <v>23.86</v>
      </c>
      <c r="I103">
        <v>23.86</v>
      </c>
      <c r="J103">
        <v>72.72</v>
      </c>
      <c r="K103">
        <v>42.72</v>
      </c>
      <c r="L103">
        <v>1.4239999999999999</v>
      </c>
      <c r="M103">
        <v>142.4</v>
      </c>
      <c r="N103">
        <v>153.78</v>
      </c>
      <c r="O103">
        <v>128.15</v>
      </c>
      <c r="P103">
        <v>122.32</v>
      </c>
      <c r="Q103">
        <v>122.32</v>
      </c>
      <c r="R103">
        <v>372.79</v>
      </c>
      <c r="S103">
        <v>219.01</v>
      </c>
      <c r="T103">
        <v>1.4241773962804001</v>
      </c>
      <c r="U103">
        <v>142.41773962804001</v>
      </c>
      <c r="V103">
        <v>0.78</v>
      </c>
      <c r="W103">
        <v>0.65</v>
      </c>
      <c r="X103">
        <v>0.62</v>
      </c>
      <c r="Y103">
        <v>0.62</v>
      </c>
      <c r="Z103">
        <v>1.89</v>
      </c>
      <c r="AA103">
        <v>1.1100000000000001</v>
      </c>
      <c r="AB103">
        <v>1.4230769230769229</v>
      </c>
      <c r="AC103">
        <v>142.30769230769229</v>
      </c>
      <c r="AD103" t="s">
        <v>2322</v>
      </c>
      <c r="AE103" t="s">
        <v>2322</v>
      </c>
      <c r="AF103" t="s">
        <v>2322</v>
      </c>
    </row>
    <row r="104" spans="1:32" x14ac:dyDescent="0.35">
      <c r="A104" t="s">
        <v>39</v>
      </c>
      <c r="B104">
        <v>782841</v>
      </c>
      <c r="C104" t="s">
        <v>72</v>
      </c>
      <c r="D104" t="s">
        <v>1153</v>
      </c>
      <c r="E104" t="s">
        <v>281</v>
      </c>
      <c r="F104">
        <v>200</v>
      </c>
      <c r="G104">
        <v>198.99</v>
      </c>
      <c r="H104">
        <v>197.91</v>
      </c>
      <c r="I104">
        <v>197.91</v>
      </c>
      <c r="J104">
        <v>594.80999999999995</v>
      </c>
      <c r="K104">
        <v>394.80999999999989</v>
      </c>
      <c r="L104">
        <v>1.9740500000000001</v>
      </c>
      <c r="M104">
        <v>197.405</v>
      </c>
      <c r="N104">
        <v>123.22</v>
      </c>
      <c r="O104">
        <v>122.59</v>
      </c>
      <c r="P104">
        <v>121.93</v>
      </c>
      <c r="Q104">
        <v>121.93</v>
      </c>
      <c r="R104">
        <v>366.45</v>
      </c>
      <c r="S104">
        <v>243.23</v>
      </c>
      <c r="T104">
        <v>1.973949034247688</v>
      </c>
      <c r="U104">
        <v>197.39490342476881</v>
      </c>
      <c r="V104">
        <v>4.4000000000000004</v>
      </c>
      <c r="W104">
        <v>4.37</v>
      </c>
      <c r="X104">
        <v>4.3499999999999996</v>
      </c>
      <c r="Y104">
        <v>4.3499999999999996</v>
      </c>
      <c r="Z104">
        <v>13.07</v>
      </c>
      <c r="AA104">
        <v>8.6699999999999982</v>
      </c>
      <c r="AB104">
        <v>1.970454545454545</v>
      </c>
      <c r="AC104">
        <v>197.0454545454545</v>
      </c>
      <c r="AD104" t="s">
        <v>2322</v>
      </c>
      <c r="AE104" t="s">
        <v>2322</v>
      </c>
      <c r="AF104" t="s">
        <v>2322</v>
      </c>
    </row>
    <row r="105" spans="1:32" x14ac:dyDescent="0.35">
      <c r="A105" t="s">
        <v>39</v>
      </c>
      <c r="B105">
        <v>786238</v>
      </c>
      <c r="C105" t="s">
        <v>72</v>
      </c>
      <c r="D105" t="s">
        <v>1172</v>
      </c>
      <c r="E105" t="s">
        <v>1173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D105" t="s">
        <v>2321</v>
      </c>
      <c r="AE105" t="s">
        <v>2321</v>
      </c>
      <c r="AF105" t="s">
        <v>2321</v>
      </c>
    </row>
    <row r="106" spans="1:32" x14ac:dyDescent="0.35">
      <c r="A106" t="s">
        <v>39</v>
      </c>
      <c r="B106">
        <v>825955</v>
      </c>
      <c r="C106" t="s">
        <v>72</v>
      </c>
      <c r="D106" t="s">
        <v>1182</v>
      </c>
      <c r="E106" t="s">
        <v>752</v>
      </c>
      <c r="N106">
        <v>534.44000000000005</v>
      </c>
      <c r="O106">
        <v>596.91999999999996</v>
      </c>
      <c r="P106">
        <v>533.92999999999995</v>
      </c>
      <c r="Q106">
        <v>533.92999999999995</v>
      </c>
      <c r="R106">
        <v>1664.78</v>
      </c>
      <c r="S106">
        <v>1130.3399999999999</v>
      </c>
      <c r="T106">
        <v>2.1149988773295409</v>
      </c>
      <c r="U106">
        <v>211.49988773295411</v>
      </c>
      <c r="V106">
        <v>9.27</v>
      </c>
      <c r="W106">
        <v>10.35</v>
      </c>
      <c r="X106">
        <v>9.26</v>
      </c>
      <c r="Y106">
        <v>9.26</v>
      </c>
      <c r="Z106">
        <v>28.87</v>
      </c>
      <c r="AA106">
        <v>19.600000000000001</v>
      </c>
      <c r="AB106">
        <v>2.114347357065804</v>
      </c>
      <c r="AC106">
        <v>211.4347357065804</v>
      </c>
      <c r="AD106" t="s">
        <v>2321</v>
      </c>
      <c r="AE106" t="s">
        <v>2322</v>
      </c>
      <c r="AF106" t="s">
        <v>2322</v>
      </c>
    </row>
    <row r="107" spans="1:32" x14ac:dyDescent="0.35">
      <c r="A107" t="s">
        <v>39</v>
      </c>
      <c r="B107">
        <v>825956</v>
      </c>
      <c r="C107" t="s">
        <v>72</v>
      </c>
      <c r="D107" t="s">
        <v>1195</v>
      </c>
      <c r="E107" t="s">
        <v>752</v>
      </c>
      <c r="F107">
        <v>334.53</v>
      </c>
      <c r="G107">
        <v>343.31</v>
      </c>
      <c r="H107">
        <v>339.4</v>
      </c>
      <c r="I107">
        <v>339.4</v>
      </c>
      <c r="J107">
        <v>1022.11</v>
      </c>
      <c r="K107">
        <v>687.58</v>
      </c>
      <c r="L107">
        <v>2.055361253101367</v>
      </c>
      <c r="M107">
        <v>205.53612531013661</v>
      </c>
      <c r="N107">
        <v>60.27</v>
      </c>
      <c r="O107">
        <v>61.85</v>
      </c>
      <c r="P107">
        <v>61.14</v>
      </c>
      <c r="Q107">
        <v>61.14</v>
      </c>
      <c r="R107">
        <v>184.13</v>
      </c>
      <c r="S107">
        <v>123.86</v>
      </c>
      <c r="T107">
        <v>2.0550854488136721</v>
      </c>
      <c r="U107">
        <v>205.50854488136719</v>
      </c>
      <c r="V107">
        <v>1.44</v>
      </c>
      <c r="W107">
        <v>1.48</v>
      </c>
      <c r="X107">
        <v>1.46</v>
      </c>
      <c r="Y107">
        <v>1.46</v>
      </c>
      <c r="Z107">
        <v>4.4000000000000004</v>
      </c>
      <c r="AA107">
        <v>2.96</v>
      </c>
      <c r="AB107">
        <v>2.0555555555555558</v>
      </c>
      <c r="AC107">
        <v>205.5555555555556</v>
      </c>
      <c r="AD107" t="s">
        <v>2322</v>
      </c>
      <c r="AE107" t="s">
        <v>2322</v>
      </c>
      <c r="AF107" t="s">
        <v>2322</v>
      </c>
    </row>
    <row r="108" spans="1:32" x14ac:dyDescent="0.35">
      <c r="A108" t="s">
        <v>39</v>
      </c>
      <c r="B108">
        <v>825958</v>
      </c>
      <c r="C108" t="s">
        <v>72</v>
      </c>
      <c r="D108" t="s">
        <v>1212</v>
      </c>
      <c r="E108" t="s">
        <v>752</v>
      </c>
      <c r="F108">
        <v>258</v>
      </c>
      <c r="G108">
        <v>201</v>
      </c>
      <c r="H108">
        <v>253.57</v>
      </c>
      <c r="I108">
        <v>253.57</v>
      </c>
      <c r="J108">
        <v>708.14</v>
      </c>
      <c r="K108">
        <v>450.14</v>
      </c>
      <c r="L108">
        <v>1.744728682170543</v>
      </c>
      <c r="M108">
        <v>174.4728682170543</v>
      </c>
      <c r="N108">
        <v>45.88</v>
      </c>
      <c r="O108">
        <v>35.74</v>
      </c>
      <c r="P108">
        <v>45.09</v>
      </c>
      <c r="Q108">
        <v>45.09</v>
      </c>
      <c r="R108">
        <v>125.92</v>
      </c>
      <c r="S108">
        <v>80.04000000000002</v>
      </c>
      <c r="T108">
        <v>1.7445510026155191</v>
      </c>
      <c r="U108">
        <v>174.45510026155191</v>
      </c>
      <c r="V108">
        <v>0.81</v>
      </c>
      <c r="W108">
        <v>0.63</v>
      </c>
      <c r="X108">
        <v>0.8</v>
      </c>
      <c r="Y108">
        <v>0.8</v>
      </c>
      <c r="Z108">
        <v>2.23</v>
      </c>
      <c r="AA108">
        <v>1.42</v>
      </c>
      <c r="AB108">
        <v>1.7530864197530871</v>
      </c>
      <c r="AC108">
        <v>175.30864197530869</v>
      </c>
      <c r="AD108" t="s">
        <v>2322</v>
      </c>
      <c r="AE108" t="s">
        <v>2322</v>
      </c>
      <c r="AF108" t="s">
        <v>2322</v>
      </c>
    </row>
    <row r="109" spans="1:32" x14ac:dyDescent="0.35">
      <c r="A109" t="s">
        <v>39</v>
      </c>
      <c r="B109">
        <v>823534</v>
      </c>
      <c r="C109" t="s">
        <v>72</v>
      </c>
      <c r="D109" t="s">
        <v>1229</v>
      </c>
      <c r="E109" t="s">
        <v>116</v>
      </c>
      <c r="N109">
        <v>205.15</v>
      </c>
      <c r="O109">
        <v>201.28</v>
      </c>
      <c r="P109">
        <v>238.35</v>
      </c>
      <c r="Q109">
        <v>245.81</v>
      </c>
      <c r="R109">
        <v>685.44</v>
      </c>
      <c r="S109">
        <v>480.29000000000008</v>
      </c>
      <c r="T109">
        <v>2.34116500121862</v>
      </c>
      <c r="U109">
        <v>234.11650012186209</v>
      </c>
      <c r="V109">
        <v>7.09</v>
      </c>
      <c r="W109">
        <v>6.96</v>
      </c>
      <c r="X109">
        <v>8.24</v>
      </c>
      <c r="Y109">
        <v>8.5</v>
      </c>
      <c r="Z109">
        <v>23.7</v>
      </c>
      <c r="AA109">
        <v>16.61</v>
      </c>
      <c r="AB109">
        <v>2.342736248236954</v>
      </c>
      <c r="AC109">
        <v>234.2736248236954</v>
      </c>
      <c r="AD109" t="s">
        <v>2321</v>
      </c>
      <c r="AE109" t="s">
        <v>2322</v>
      </c>
      <c r="AF109" t="s">
        <v>2322</v>
      </c>
    </row>
    <row r="110" spans="1:32" x14ac:dyDescent="0.35">
      <c r="A110" t="s">
        <v>39</v>
      </c>
      <c r="B110">
        <v>823532</v>
      </c>
      <c r="C110" t="s">
        <v>72</v>
      </c>
      <c r="D110" t="s">
        <v>1249</v>
      </c>
      <c r="E110" t="s">
        <v>116</v>
      </c>
      <c r="F110">
        <v>80</v>
      </c>
      <c r="G110">
        <v>58.8</v>
      </c>
      <c r="H110">
        <v>58.8</v>
      </c>
      <c r="I110">
        <v>38.799999999999997</v>
      </c>
      <c r="J110">
        <v>156.4</v>
      </c>
      <c r="K110">
        <v>76.399999999999977</v>
      </c>
      <c r="L110">
        <v>0.95499999999999963</v>
      </c>
      <c r="M110">
        <v>95.499999999999957</v>
      </c>
      <c r="N110">
        <v>14.06</v>
      </c>
      <c r="O110">
        <v>10.34</v>
      </c>
      <c r="P110">
        <v>10.34</v>
      </c>
      <c r="Q110">
        <v>6.82</v>
      </c>
      <c r="R110">
        <v>27.5</v>
      </c>
      <c r="S110">
        <v>13.44</v>
      </c>
      <c r="T110">
        <v>0.95590327169274536</v>
      </c>
      <c r="U110">
        <v>95.590327169274531</v>
      </c>
      <c r="V110">
        <v>0.49</v>
      </c>
      <c r="W110">
        <v>0.36</v>
      </c>
      <c r="X110">
        <v>0.36</v>
      </c>
      <c r="Y110">
        <v>0.24</v>
      </c>
      <c r="Z110">
        <v>0.96</v>
      </c>
      <c r="AA110">
        <v>0.47</v>
      </c>
      <c r="AB110">
        <v>0.95918367346938771</v>
      </c>
      <c r="AC110">
        <v>95.918367346938766</v>
      </c>
      <c r="AD110" t="s">
        <v>2322</v>
      </c>
      <c r="AE110" t="s">
        <v>2322</v>
      </c>
      <c r="AF110" t="s">
        <v>2322</v>
      </c>
    </row>
    <row r="111" spans="1:32" x14ac:dyDescent="0.35">
      <c r="A111" t="s">
        <v>39</v>
      </c>
      <c r="B111">
        <v>825019</v>
      </c>
      <c r="C111" t="s">
        <v>72</v>
      </c>
      <c r="D111" t="s">
        <v>1259</v>
      </c>
      <c r="E111" t="s">
        <v>1260</v>
      </c>
      <c r="F111">
        <v>106.66</v>
      </c>
      <c r="G111">
        <v>53.33</v>
      </c>
      <c r="H111">
        <v>50.85</v>
      </c>
      <c r="I111">
        <v>50.85</v>
      </c>
      <c r="J111">
        <v>155.03</v>
      </c>
      <c r="K111">
        <v>48.37</v>
      </c>
      <c r="L111">
        <v>0.453497093568348</v>
      </c>
      <c r="M111">
        <v>45.349709356834801</v>
      </c>
      <c r="N111">
        <v>8.5299999999999994</v>
      </c>
      <c r="O111">
        <v>4.26</v>
      </c>
      <c r="P111">
        <v>4.07</v>
      </c>
      <c r="Q111">
        <v>4.07</v>
      </c>
      <c r="R111">
        <v>12.4</v>
      </c>
      <c r="S111">
        <v>3.870000000000001</v>
      </c>
      <c r="T111">
        <v>0.45369284876905058</v>
      </c>
      <c r="U111">
        <v>45.369284876905063</v>
      </c>
      <c r="V111">
        <v>0.3</v>
      </c>
      <c r="W111">
        <v>0.15</v>
      </c>
      <c r="X111">
        <v>0.14000000000000001</v>
      </c>
      <c r="Y111">
        <v>0.14000000000000001</v>
      </c>
      <c r="Z111">
        <v>0.43</v>
      </c>
      <c r="AA111">
        <v>0.13000000000000009</v>
      </c>
      <c r="AB111">
        <v>0.43333333333333363</v>
      </c>
      <c r="AC111">
        <v>43.333333333333357</v>
      </c>
      <c r="AD111" t="s">
        <v>2322</v>
      </c>
      <c r="AE111" t="s">
        <v>2322</v>
      </c>
      <c r="AF111" t="s">
        <v>2322</v>
      </c>
    </row>
    <row r="112" spans="1:32" x14ac:dyDescent="0.35">
      <c r="A112" t="s">
        <v>39</v>
      </c>
      <c r="B112">
        <v>825474</v>
      </c>
      <c r="C112" t="s">
        <v>72</v>
      </c>
      <c r="D112" t="s">
        <v>1270</v>
      </c>
      <c r="E112" t="s">
        <v>1271</v>
      </c>
      <c r="F112">
        <v>866.66</v>
      </c>
      <c r="G112">
        <v>797.08</v>
      </c>
      <c r="H112">
        <v>757.31</v>
      </c>
      <c r="I112">
        <v>890.64</v>
      </c>
      <c r="J112">
        <v>2445.0300000000002</v>
      </c>
      <c r="K112">
        <v>1578.37</v>
      </c>
      <c r="L112">
        <v>1.821210163155101</v>
      </c>
      <c r="M112">
        <v>182.1210163155101</v>
      </c>
      <c r="N112">
        <v>154.47</v>
      </c>
      <c r="O112">
        <v>142.07</v>
      </c>
      <c r="P112">
        <v>134.97999999999999</v>
      </c>
      <c r="Q112">
        <v>158.75</v>
      </c>
      <c r="R112">
        <v>435.8</v>
      </c>
      <c r="S112">
        <v>281.32999999999993</v>
      </c>
      <c r="T112">
        <v>1.8212597915452839</v>
      </c>
      <c r="U112">
        <v>182.12597915452841</v>
      </c>
      <c r="V112">
        <v>6.44</v>
      </c>
      <c r="W112">
        <v>5.92</v>
      </c>
      <c r="X112">
        <v>5.63</v>
      </c>
      <c r="Y112">
        <v>6.62</v>
      </c>
      <c r="Z112">
        <v>18.170000000000002</v>
      </c>
      <c r="AA112">
        <v>11.73</v>
      </c>
      <c r="AB112">
        <v>1.8214285714285721</v>
      </c>
      <c r="AC112">
        <v>182.1428571428572</v>
      </c>
      <c r="AD112" t="s">
        <v>2322</v>
      </c>
      <c r="AE112" t="s">
        <v>2322</v>
      </c>
      <c r="AF112" t="s">
        <v>2322</v>
      </c>
    </row>
    <row r="113" spans="1:32" x14ac:dyDescent="0.35">
      <c r="A113" t="s">
        <v>39</v>
      </c>
      <c r="B113">
        <v>825020</v>
      </c>
      <c r="C113" t="s">
        <v>72</v>
      </c>
      <c r="D113" t="s">
        <v>1294</v>
      </c>
      <c r="E113" t="s">
        <v>1271</v>
      </c>
      <c r="F113">
        <v>533.33000000000004</v>
      </c>
      <c r="G113">
        <v>532</v>
      </c>
      <c r="H113">
        <v>562.33000000000004</v>
      </c>
      <c r="I113">
        <v>662.33</v>
      </c>
      <c r="J113">
        <v>1756.66</v>
      </c>
      <c r="K113">
        <v>1223.33</v>
      </c>
      <c r="L113">
        <v>2.2937580859880371</v>
      </c>
      <c r="M113">
        <v>229.3758085988037</v>
      </c>
      <c r="N113">
        <v>90.97</v>
      </c>
      <c r="O113">
        <v>90.74</v>
      </c>
      <c r="P113">
        <v>95.91</v>
      </c>
      <c r="Q113">
        <v>112.97</v>
      </c>
      <c r="R113">
        <v>299.62</v>
      </c>
      <c r="S113">
        <v>208.65</v>
      </c>
      <c r="T113">
        <v>2.2936132791030008</v>
      </c>
      <c r="U113">
        <v>229.3613279103001</v>
      </c>
      <c r="V113">
        <v>3.49</v>
      </c>
      <c r="W113">
        <v>3.48</v>
      </c>
      <c r="X113">
        <v>3.68</v>
      </c>
      <c r="Y113">
        <v>4.33</v>
      </c>
      <c r="Z113">
        <v>11.49</v>
      </c>
      <c r="AA113">
        <v>8</v>
      </c>
      <c r="AB113">
        <v>2.2922636103151861</v>
      </c>
      <c r="AC113">
        <v>229.22636103151859</v>
      </c>
      <c r="AD113" t="s">
        <v>2322</v>
      </c>
      <c r="AE113" t="s">
        <v>2322</v>
      </c>
      <c r="AF113" t="s">
        <v>2322</v>
      </c>
    </row>
    <row r="114" spans="1:32" x14ac:dyDescent="0.35">
      <c r="A114" t="s">
        <v>39</v>
      </c>
      <c r="B114">
        <v>823536</v>
      </c>
      <c r="C114" t="s">
        <v>72</v>
      </c>
      <c r="D114" t="s">
        <v>1317</v>
      </c>
      <c r="E114" t="s">
        <v>1260</v>
      </c>
      <c r="F114">
        <v>20</v>
      </c>
      <c r="G114">
        <v>0</v>
      </c>
      <c r="H114">
        <v>0</v>
      </c>
      <c r="I114">
        <v>0</v>
      </c>
      <c r="J114">
        <v>0</v>
      </c>
      <c r="K114">
        <v>-20</v>
      </c>
      <c r="L114">
        <v>-1</v>
      </c>
      <c r="M114">
        <v>100</v>
      </c>
      <c r="N114">
        <v>4.59</v>
      </c>
      <c r="O114">
        <v>0</v>
      </c>
      <c r="P114">
        <v>0</v>
      </c>
      <c r="Q114">
        <v>0</v>
      </c>
      <c r="R114">
        <v>0</v>
      </c>
      <c r="S114">
        <v>-4.59</v>
      </c>
      <c r="T114">
        <v>-1</v>
      </c>
      <c r="U114">
        <v>100</v>
      </c>
      <c r="V114">
        <v>0.16</v>
      </c>
      <c r="W114">
        <v>0</v>
      </c>
      <c r="X114">
        <v>0</v>
      </c>
      <c r="Y114">
        <v>0</v>
      </c>
      <c r="Z114">
        <v>0</v>
      </c>
      <c r="AA114">
        <v>-0.16</v>
      </c>
      <c r="AB114">
        <v>-1</v>
      </c>
      <c r="AC114">
        <v>100</v>
      </c>
      <c r="AD114" t="s">
        <v>2322</v>
      </c>
      <c r="AE114" t="s">
        <v>2322</v>
      </c>
      <c r="AF114" t="s">
        <v>2322</v>
      </c>
    </row>
    <row r="115" spans="1:32" x14ac:dyDescent="0.35">
      <c r="A115" t="s">
        <v>39</v>
      </c>
      <c r="B115">
        <v>823535</v>
      </c>
      <c r="C115" t="s">
        <v>72</v>
      </c>
      <c r="D115" t="s">
        <v>1323</v>
      </c>
      <c r="E115" t="s">
        <v>1260</v>
      </c>
      <c r="F115">
        <v>306.67</v>
      </c>
      <c r="G115">
        <v>171.8</v>
      </c>
      <c r="H115">
        <v>170.15</v>
      </c>
      <c r="I115">
        <v>210.15</v>
      </c>
      <c r="J115">
        <v>552.1</v>
      </c>
      <c r="K115">
        <v>245.43</v>
      </c>
      <c r="L115">
        <v>0.80030651840740852</v>
      </c>
      <c r="M115">
        <v>80.030651840740859</v>
      </c>
      <c r="N115">
        <v>44.82</v>
      </c>
      <c r="O115">
        <v>25.11</v>
      </c>
      <c r="P115">
        <v>24.87</v>
      </c>
      <c r="Q115">
        <v>30.71</v>
      </c>
      <c r="R115">
        <v>80.69</v>
      </c>
      <c r="S115">
        <v>35.869999999999997</v>
      </c>
      <c r="T115">
        <v>0.80031236055332444</v>
      </c>
      <c r="U115">
        <v>80.031236055332442</v>
      </c>
      <c r="V115">
        <v>1.57</v>
      </c>
      <c r="W115">
        <v>0.88</v>
      </c>
      <c r="X115">
        <v>0.87</v>
      </c>
      <c r="Y115">
        <v>1.07</v>
      </c>
      <c r="Z115">
        <v>2.82</v>
      </c>
      <c r="AA115">
        <v>1.25</v>
      </c>
      <c r="AB115">
        <v>0.79617834394904463</v>
      </c>
      <c r="AC115">
        <v>79.617834394904463</v>
      </c>
      <c r="AD115" t="s">
        <v>2322</v>
      </c>
      <c r="AE115" t="s">
        <v>2322</v>
      </c>
      <c r="AF115" t="s">
        <v>2322</v>
      </c>
    </row>
    <row r="116" spans="1:32" x14ac:dyDescent="0.35">
      <c r="A116" t="s">
        <v>39</v>
      </c>
      <c r="B116">
        <v>823533</v>
      </c>
      <c r="C116" t="s">
        <v>72</v>
      </c>
      <c r="D116" t="s">
        <v>1337</v>
      </c>
      <c r="E116" t="s">
        <v>116</v>
      </c>
      <c r="F116">
        <v>160</v>
      </c>
      <c r="G116">
        <v>120</v>
      </c>
      <c r="H116">
        <v>159.05000000000001</v>
      </c>
      <c r="I116">
        <v>159.05000000000001</v>
      </c>
      <c r="J116">
        <v>438.1</v>
      </c>
      <c r="K116">
        <v>278.10000000000002</v>
      </c>
      <c r="L116">
        <v>1.7381249999999999</v>
      </c>
      <c r="M116">
        <v>173.8125</v>
      </c>
      <c r="N116">
        <v>29.53</v>
      </c>
      <c r="O116">
        <v>22.15</v>
      </c>
      <c r="P116">
        <v>29.35</v>
      </c>
      <c r="Q116">
        <v>29.35</v>
      </c>
      <c r="R116">
        <v>80.849999999999994</v>
      </c>
      <c r="S116">
        <v>51.319999999999993</v>
      </c>
      <c r="T116">
        <v>1.7378936674568231</v>
      </c>
      <c r="U116">
        <v>173.78936674568229</v>
      </c>
      <c r="V116">
        <v>1.03</v>
      </c>
      <c r="W116">
        <v>0.77</v>
      </c>
      <c r="X116">
        <v>1.03</v>
      </c>
      <c r="Y116">
        <v>1.03</v>
      </c>
      <c r="Z116">
        <v>2.83</v>
      </c>
      <c r="AA116">
        <v>1.8</v>
      </c>
      <c r="AB116">
        <v>1.7475728155339809</v>
      </c>
      <c r="AC116">
        <v>174.75728155339809</v>
      </c>
      <c r="AD116" t="s">
        <v>2322</v>
      </c>
      <c r="AE116" t="s">
        <v>2322</v>
      </c>
      <c r="AF116" t="s">
        <v>2322</v>
      </c>
    </row>
    <row r="117" spans="1:32" x14ac:dyDescent="0.35">
      <c r="A117" t="s">
        <v>39</v>
      </c>
      <c r="B117">
        <v>826728</v>
      </c>
      <c r="C117" t="s">
        <v>72</v>
      </c>
      <c r="D117" t="s">
        <v>1350</v>
      </c>
      <c r="E117" t="s">
        <v>1351</v>
      </c>
      <c r="F117">
        <v>382.2</v>
      </c>
      <c r="G117">
        <v>201.72</v>
      </c>
      <c r="H117">
        <v>201.72</v>
      </c>
      <c r="I117">
        <v>201.72</v>
      </c>
      <c r="J117">
        <v>605.16</v>
      </c>
      <c r="K117">
        <v>222.96</v>
      </c>
      <c r="L117">
        <v>0.58335949764521189</v>
      </c>
      <c r="M117">
        <v>58.335949764521189</v>
      </c>
      <c r="N117">
        <v>5</v>
      </c>
      <c r="O117">
        <v>2.64</v>
      </c>
      <c r="P117">
        <v>2.64</v>
      </c>
      <c r="Q117">
        <v>2.64</v>
      </c>
      <c r="R117">
        <v>7.92</v>
      </c>
      <c r="S117">
        <v>2.92</v>
      </c>
      <c r="T117">
        <v>0.58400000000000007</v>
      </c>
      <c r="U117">
        <v>58.400000000000013</v>
      </c>
      <c r="V117">
        <v>4.76</v>
      </c>
      <c r="W117">
        <v>2.5099999999999998</v>
      </c>
      <c r="X117">
        <v>2.5099999999999998</v>
      </c>
      <c r="Y117">
        <v>2.5099999999999998</v>
      </c>
      <c r="Z117">
        <v>7.5299999999999994</v>
      </c>
      <c r="AA117">
        <v>2.77</v>
      </c>
      <c r="AB117">
        <v>0.58193277310924363</v>
      </c>
      <c r="AC117">
        <v>58.193277310924373</v>
      </c>
      <c r="AD117" t="s">
        <v>2322</v>
      </c>
      <c r="AE117" t="s">
        <v>2322</v>
      </c>
      <c r="AF117" t="s">
        <v>2322</v>
      </c>
    </row>
    <row r="118" spans="1:32" x14ac:dyDescent="0.35">
      <c r="A118" t="s">
        <v>39</v>
      </c>
      <c r="B118">
        <v>826727</v>
      </c>
      <c r="C118" t="s">
        <v>72</v>
      </c>
      <c r="D118" t="s">
        <v>1363</v>
      </c>
      <c r="E118" t="s">
        <v>1351</v>
      </c>
      <c r="F118">
        <v>176.4</v>
      </c>
      <c r="G118">
        <v>0</v>
      </c>
      <c r="H118">
        <v>0</v>
      </c>
      <c r="I118">
        <v>0</v>
      </c>
      <c r="J118">
        <v>0</v>
      </c>
      <c r="K118">
        <v>-176.4</v>
      </c>
      <c r="L118">
        <v>-1</v>
      </c>
      <c r="M118">
        <v>100</v>
      </c>
      <c r="N118">
        <v>1.88</v>
      </c>
      <c r="O118">
        <v>0</v>
      </c>
      <c r="P118">
        <v>0</v>
      </c>
      <c r="Q118">
        <v>0</v>
      </c>
      <c r="R118">
        <v>0</v>
      </c>
      <c r="S118">
        <v>-1.88</v>
      </c>
      <c r="T118">
        <v>-1</v>
      </c>
      <c r="U118">
        <v>100</v>
      </c>
      <c r="V118">
        <v>1.17</v>
      </c>
      <c r="W118">
        <v>0</v>
      </c>
      <c r="X118">
        <v>0</v>
      </c>
      <c r="Y118">
        <v>0</v>
      </c>
      <c r="Z118">
        <v>0</v>
      </c>
      <c r="AA118">
        <v>-1.17</v>
      </c>
      <c r="AB118">
        <v>-1</v>
      </c>
      <c r="AC118">
        <v>100</v>
      </c>
      <c r="AD118" t="s">
        <v>2322</v>
      </c>
      <c r="AE118" t="s">
        <v>2322</v>
      </c>
      <c r="AF118" t="s">
        <v>2322</v>
      </c>
    </row>
    <row r="119" spans="1:32" x14ac:dyDescent="0.35">
      <c r="A119" t="s">
        <v>39</v>
      </c>
      <c r="B119">
        <v>826730</v>
      </c>
      <c r="C119" t="s">
        <v>72</v>
      </c>
      <c r="D119" t="s">
        <v>1370</v>
      </c>
      <c r="E119" t="s">
        <v>1351</v>
      </c>
      <c r="F119">
        <v>73.5</v>
      </c>
      <c r="G119">
        <v>29.46</v>
      </c>
      <c r="H119">
        <v>29.46</v>
      </c>
      <c r="I119">
        <v>29.46</v>
      </c>
      <c r="J119">
        <v>88.38</v>
      </c>
      <c r="K119">
        <v>14.88</v>
      </c>
      <c r="L119">
        <v>0.20244897959183669</v>
      </c>
      <c r="M119">
        <v>20.244897959183671</v>
      </c>
      <c r="N119">
        <v>1.28</v>
      </c>
      <c r="O119">
        <v>0.51</v>
      </c>
      <c r="P119">
        <v>0.51</v>
      </c>
      <c r="Q119">
        <v>0.51</v>
      </c>
      <c r="R119">
        <v>1.53</v>
      </c>
      <c r="S119">
        <v>0.25</v>
      </c>
      <c r="T119">
        <v>0.1953125</v>
      </c>
      <c r="U119">
        <v>19.53125</v>
      </c>
      <c r="V119">
        <v>1.76</v>
      </c>
      <c r="W119">
        <v>0.71</v>
      </c>
      <c r="X119">
        <v>0.71</v>
      </c>
      <c r="Y119">
        <v>0.71</v>
      </c>
      <c r="Z119">
        <v>2.13</v>
      </c>
      <c r="AA119">
        <v>0.36999999999999988</v>
      </c>
      <c r="AB119">
        <v>0.21022727272727271</v>
      </c>
      <c r="AC119">
        <v>21.02272727272727</v>
      </c>
      <c r="AD119" t="s">
        <v>2322</v>
      </c>
      <c r="AE119" t="s">
        <v>2322</v>
      </c>
      <c r="AF119" t="s">
        <v>2322</v>
      </c>
    </row>
    <row r="120" spans="1:32" x14ac:dyDescent="0.35">
      <c r="A120" t="s">
        <v>39</v>
      </c>
      <c r="B120">
        <v>826729</v>
      </c>
      <c r="C120" t="s">
        <v>72</v>
      </c>
      <c r="D120" t="s">
        <v>1378</v>
      </c>
      <c r="E120" t="s">
        <v>1351</v>
      </c>
      <c r="F120">
        <v>117.6</v>
      </c>
      <c r="G120">
        <v>88.73</v>
      </c>
      <c r="H120">
        <v>59.33</v>
      </c>
      <c r="I120">
        <v>59.33</v>
      </c>
      <c r="J120">
        <v>207.39</v>
      </c>
      <c r="K120">
        <v>89.789999999999992</v>
      </c>
      <c r="L120">
        <v>0.76352040816326538</v>
      </c>
      <c r="M120">
        <v>76.352040816326536</v>
      </c>
      <c r="N120">
        <v>1.82</v>
      </c>
      <c r="O120">
        <v>1.37</v>
      </c>
      <c r="P120">
        <v>0.92</v>
      </c>
      <c r="Q120">
        <v>0.92</v>
      </c>
      <c r="R120">
        <v>3.21</v>
      </c>
      <c r="S120">
        <v>1.39</v>
      </c>
      <c r="T120">
        <v>0.76373626373626369</v>
      </c>
      <c r="U120">
        <v>76.373626373626365</v>
      </c>
      <c r="V120">
        <v>2.14</v>
      </c>
      <c r="W120">
        <v>1.61</v>
      </c>
      <c r="X120">
        <v>1.08</v>
      </c>
      <c r="Y120">
        <v>1.08</v>
      </c>
      <c r="Z120">
        <v>3.77</v>
      </c>
      <c r="AA120">
        <v>1.63</v>
      </c>
      <c r="AB120">
        <v>0.76168224299065423</v>
      </c>
      <c r="AC120">
        <v>76.168224299065429</v>
      </c>
      <c r="AD120" t="s">
        <v>2322</v>
      </c>
      <c r="AE120" t="s">
        <v>2322</v>
      </c>
      <c r="AF120" t="s">
        <v>2322</v>
      </c>
    </row>
    <row r="121" spans="1:32" x14ac:dyDescent="0.35">
      <c r="A121" t="s">
        <v>39</v>
      </c>
      <c r="B121">
        <v>828466</v>
      </c>
      <c r="C121" t="s">
        <v>72</v>
      </c>
      <c r="D121" t="s">
        <v>1389</v>
      </c>
      <c r="E121" t="s">
        <v>1390</v>
      </c>
      <c r="F121">
        <v>800</v>
      </c>
      <c r="G121">
        <v>200</v>
      </c>
      <c r="H121">
        <v>195</v>
      </c>
      <c r="I121">
        <v>0</v>
      </c>
      <c r="J121">
        <v>395</v>
      </c>
      <c r="K121">
        <v>-405</v>
      </c>
      <c r="L121">
        <v>-0.50624999999999998</v>
      </c>
      <c r="M121">
        <v>50.625</v>
      </c>
      <c r="N121">
        <v>405.33</v>
      </c>
      <c r="O121">
        <v>101.33</v>
      </c>
      <c r="P121">
        <v>98.8</v>
      </c>
      <c r="Q121">
        <v>0</v>
      </c>
      <c r="R121">
        <v>200.13</v>
      </c>
      <c r="S121">
        <v>-205.2</v>
      </c>
      <c r="T121">
        <v>-0.50625416327436901</v>
      </c>
      <c r="U121">
        <v>50.625416327436902</v>
      </c>
      <c r="V121">
        <v>10.67</v>
      </c>
      <c r="W121">
        <v>2.67</v>
      </c>
      <c r="X121">
        <v>2.6</v>
      </c>
      <c r="Y121">
        <v>0</v>
      </c>
      <c r="Z121">
        <v>5.27</v>
      </c>
      <c r="AA121">
        <v>-5.4</v>
      </c>
      <c r="AB121">
        <v>-0.50609184629803194</v>
      </c>
      <c r="AC121">
        <v>50.609184629803202</v>
      </c>
      <c r="AD121" t="s">
        <v>2322</v>
      </c>
      <c r="AE121" t="s">
        <v>2322</v>
      </c>
      <c r="AF121" t="s">
        <v>2322</v>
      </c>
    </row>
    <row r="122" spans="1:32" x14ac:dyDescent="0.35">
      <c r="A122" t="s">
        <v>39</v>
      </c>
      <c r="B122">
        <v>828467</v>
      </c>
      <c r="C122" t="s">
        <v>72</v>
      </c>
      <c r="D122" t="s">
        <v>1402</v>
      </c>
      <c r="E122" t="s">
        <v>1390</v>
      </c>
      <c r="F122">
        <v>750</v>
      </c>
      <c r="G122">
        <v>500</v>
      </c>
      <c r="H122">
        <v>342</v>
      </c>
      <c r="I122">
        <v>0</v>
      </c>
      <c r="J122">
        <v>842</v>
      </c>
      <c r="K122">
        <v>92</v>
      </c>
      <c r="L122">
        <v>0.1226666666666667</v>
      </c>
      <c r="M122">
        <v>12.266666666666669</v>
      </c>
      <c r="N122">
        <v>700</v>
      </c>
      <c r="O122">
        <v>466.67</v>
      </c>
      <c r="P122">
        <v>319.2</v>
      </c>
      <c r="Q122">
        <v>0</v>
      </c>
      <c r="R122">
        <v>785.87</v>
      </c>
      <c r="S122">
        <v>85.87</v>
      </c>
      <c r="T122">
        <v>0.1226714285714285</v>
      </c>
      <c r="U122">
        <v>12.267142857142851</v>
      </c>
      <c r="V122">
        <v>15</v>
      </c>
      <c r="W122">
        <v>10</v>
      </c>
      <c r="X122">
        <v>6.84</v>
      </c>
      <c r="Y122">
        <v>0</v>
      </c>
      <c r="Z122">
        <v>16.84</v>
      </c>
      <c r="AA122">
        <v>1.84</v>
      </c>
      <c r="AB122">
        <v>0.1226666666666667</v>
      </c>
      <c r="AC122">
        <v>12.266666666666669</v>
      </c>
      <c r="AD122" t="s">
        <v>2324</v>
      </c>
      <c r="AE122" t="s">
        <v>2324</v>
      </c>
      <c r="AF122" t="s">
        <v>2324</v>
      </c>
    </row>
    <row r="123" spans="1:32" x14ac:dyDescent="0.35">
      <c r="A123" t="s">
        <v>39</v>
      </c>
      <c r="B123">
        <v>845983</v>
      </c>
      <c r="C123" t="s">
        <v>72</v>
      </c>
      <c r="D123" t="s">
        <v>1412</v>
      </c>
      <c r="E123" t="s">
        <v>1413</v>
      </c>
      <c r="F123">
        <v>220</v>
      </c>
      <c r="G123">
        <v>180</v>
      </c>
      <c r="H123">
        <v>173.29</v>
      </c>
      <c r="I123">
        <v>0</v>
      </c>
      <c r="J123">
        <v>353.29</v>
      </c>
      <c r="K123">
        <v>133.29</v>
      </c>
      <c r="L123">
        <v>0.60586363636363627</v>
      </c>
      <c r="M123">
        <v>60.586363636363629</v>
      </c>
      <c r="N123">
        <v>645.33000000000004</v>
      </c>
      <c r="O123">
        <v>528</v>
      </c>
      <c r="P123">
        <v>508.31</v>
      </c>
      <c r="Q123">
        <v>0</v>
      </c>
      <c r="R123">
        <v>1036.31</v>
      </c>
      <c r="S123">
        <v>390.9799999999999</v>
      </c>
      <c r="T123">
        <v>0.60586056746160866</v>
      </c>
      <c r="U123">
        <v>60.586056746160857</v>
      </c>
      <c r="V123">
        <v>16.13</v>
      </c>
      <c r="W123">
        <v>13.2</v>
      </c>
      <c r="X123">
        <v>12.71</v>
      </c>
      <c r="Y123">
        <v>0</v>
      </c>
      <c r="Z123">
        <v>25.91</v>
      </c>
      <c r="AA123">
        <v>9.7800000000000011</v>
      </c>
      <c r="AB123">
        <v>0.60632362058276512</v>
      </c>
      <c r="AC123">
        <v>60.632362058276513</v>
      </c>
      <c r="AD123" t="s">
        <v>2322</v>
      </c>
      <c r="AE123" t="s">
        <v>2322</v>
      </c>
      <c r="AF123" t="s">
        <v>2322</v>
      </c>
    </row>
    <row r="124" spans="1:32" x14ac:dyDescent="0.35">
      <c r="A124" t="s">
        <v>39</v>
      </c>
      <c r="B124">
        <v>933330</v>
      </c>
      <c r="C124" t="s">
        <v>72</v>
      </c>
      <c r="D124" t="s">
        <v>1426</v>
      </c>
      <c r="E124" t="s">
        <v>1351</v>
      </c>
      <c r="F124">
        <v>150</v>
      </c>
      <c r="G124">
        <v>180</v>
      </c>
      <c r="H124">
        <v>115.92</v>
      </c>
      <c r="I124">
        <v>70.92</v>
      </c>
      <c r="J124">
        <v>366.84</v>
      </c>
      <c r="K124">
        <v>216.84</v>
      </c>
      <c r="L124">
        <v>1.4456</v>
      </c>
      <c r="M124">
        <v>144.56</v>
      </c>
      <c r="N124">
        <v>113.95</v>
      </c>
      <c r="O124">
        <v>136.74</v>
      </c>
      <c r="P124">
        <v>88.06</v>
      </c>
      <c r="Q124">
        <v>53.87</v>
      </c>
      <c r="R124">
        <v>278.67</v>
      </c>
      <c r="S124">
        <v>164.72</v>
      </c>
      <c r="T124">
        <v>1.4455462922334359</v>
      </c>
      <c r="U124">
        <v>144.5546292233436</v>
      </c>
      <c r="V124">
        <v>4.07</v>
      </c>
      <c r="W124">
        <v>4.88</v>
      </c>
      <c r="X124">
        <v>3.15</v>
      </c>
      <c r="Y124">
        <v>1.92</v>
      </c>
      <c r="Z124">
        <v>9.9499999999999993</v>
      </c>
      <c r="AA124">
        <v>5.879999999999999</v>
      </c>
      <c r="AB124">
        <v>1.444717444717444</v>
      </c>
      <c r="AC124">
        <v>144.47174447174439</v>
      </c>
      <c r="AD124" t="s">
        <v>2322</v>
      </c>
      <c r="AE124" t="s">
        <v>2322</v>
      </c>
      <c r="AF124" t="s">
        <v>2322</v>
      </c>
    </row>
    <row r="125" spans="1:32" x14ac:dyDescent="0.35">
      <c r="A125" t="s">
        <v>39</v>
      </c>
      <c r="B125">
        <v>846134</v>
      </c>
      <c r="C125" t="s">
        <v>72</v>
      </c>
      <c r="D125" t="s">
        <v>1442</v>
      </c>
      <c r="E125" t="s">
        <v>1413</v>
      </c>
      <c r="F125">
        <v>60</v>
      </c>
      <c r="G125">
        <v>119.15</v>
      </c>
      <c r="H125">
        <v>59.15</v>
      </c>
      <c r="I125">
        <v>0</v>
      </c>
      <c r="J125">
        <v>178.3</v>
      </c>
      <c r="K125">
        <v>118.3</v>
      </c>
      <c r="L125">
        <v>1.9716666666666669</v>
      </c>
      <c r="M125">
        <v>197.16666666666671</v>
      </c>
      <c r="N125">
        <v>70.400000000000006</v>
      </c>
      <c r="O125">
        <v>139.80000000000001</v>
      </c>
      <c r="P125">
        <v>69.400000000000006</v>
      </c>
      <c r="Q125">
        <v>0</v>
      </c>
      <c r="R125">
        <v>209.2</v>
      </c>
      <c r="S125">
        <v>138.80000000000001</v>
      </c>
      <c r="T125">
        <v>1.9715909090909089</v>
      </c>
      <c r="U125">
        <v>197.15909090909091</v>
      </c>
      <c r="V125">
        <v>1.6</v>
      </c>
      <c r="W125">
        <v>3.18</v>
      </c>
      <c r="X125">
        <v>1.58</v>
      </c>
      <c r="Y125">
        <v>0</v>
      </c>
      <c r="Z125">
        <v>4.76</v>
      </c>
      <c r="AA125">
        <v>3.16</v>
      </c>
      <c r="AB125">
        <v>1.9750000000000001</v>
      </c>
      <c r="AC125">
        <v>197.5</v>
      </c>
      <c r="AD125" t="s">
        <v>2322</v>
      </c>
      <c r="AE125" t="s">
        <v>2322</v>
      </c>
      <c r="AF125" t="s">
        <v>2322</v>
      </c>
    </row>
    <row r="126" spans="1:32" x14ac:dyDescent="0.35">
      <c r="A126" t="s">
        <v>39</v>
      </c>
      <c r="B126">
        <v>845981</v>
      </c>
      <c r="C126" t="s">
        <v>72</v>
      </c>
      <c r="D126" t="s">
        <v>1450</v>
      </c>
      <c r="E126" t="s">
        <v>1413</v>
      </c>
      <c r="F126">
        <v>80</v>
      </c>
      <c r="G126">
        <v>20</v>
      </c>
      <c r="H126">
        <v>15.34</v>
      </c>
      <c r="I126">
        <v>0</v>
      </c>
      <c r="J126">
        <v>35.340000000000003</v>
      </c>
      <c r="K126">
        <v>-44.66</v>
      </c>
      <c r="L126">
        <v>-0.55824999999999991</v>
      </c>
      <c r="M126">
        <v>55.824999999999989</v>
      </c>
      <c r="N126">
        <v>70.400000000000006</v>
      </c>
      <c r="O126">
        <v>17.600000000000001</v>
      </c>
      <c r="P126">
        <v>13.5</v>
      </c>
      <c r="Q126">
        <v>0</v>
      </c>
      <c r="R126">
        <v>31.1</v>
      </c>
      <c r="S126">
        <v>-39.299999999999997</v>
      </c>
      <c r="T126">
        <v>-0.55823863636363635</v>
      </c>
      <c r="U126">
        <v>55.823863636363633</v>
      </c>
      <c r="V126">
        <v>1.6</v>
      </c>
      <c r="W126">
        <v>0.4</v>
      </c>
      <c r="X126">
        <v>0.31</v>
      </c>
      <c r="Y126">
        <v>0</v>
      </c>
      <c r="Z126">
        <v>0.71</v>
      </c>
      <c r="AA126">
        <v>-0.89000000000000012</v>
      </c>
      <c r="AB126">
        <v>-0.55625000000000002</v>
      </c>
      <c r="AC126">
        <v>55.625</v>
      </c>
      <c r="AD126" t="s">
        <v>2322</v>
      </c>
      <c r="AE126" t="s">
        <v>2322</v>
      </c>
      <c r="AF126" t="s">
        <v>2322</v>
      </c>
    </row>
    <row r="127" spans="1:32" x14ac:dyDescent="0.35">
      <c r="A127" t="s">
        <v>39</v>
      </c>
      <c r="B127">
        <v>845982</v>
      </c>
      <c r="C127" t="s">
        <v>72</v>
      </c>
      <c r="D127" t="s">
        <v>1455</v>
      </c>
      <c r="E127" t="s">
        <v>1413</v>
      </c>
      <c r="F127">
        <v>120</v>
      </c>
      <c r="G127">
        <v>90</v>
      </c>
      <c r="H127">
        <v>91.47</v>
      </c>
      <c r="I127">
        <v>0</v>
      </c>
      <c r="J127">
        <v>181.47</v>
      </c>
      <c r="K127">
        <v>61.47</v>
      </c>
      <c r="L127">
        <v>0.51225000000000009</v>
      </c>
      <c r="M127">
        <v>51.225000000000009</v>
      </c>
      <c r="N127">
        <v>294.39999999999998</v>
      </c>
      <c r="O127">
        <v>220.8</v>
      </c>
      <c r="P127">
        <v>224.4</v>
      </c>
      <c r="Q127">
        <v>0</v>
      </c>
      <c r="R127">
        <v>445.2</v>
      </c>
      <c r="S127">
        <v>150.8000000000001</v>
      </c>
      <c r="T127">
        <v>0.51222826086956541</v>
      </c>
      <c r="U127">
        <v>51.222826086956537</v>
      </c>
      <c r="V127">
        <v>7.2</v>
      </c>
      <c r="W127">
        <v>5.4</v>
      </c>
      <c r="X127">
        <v>5.49</v>
      </c>
      <c r="Y127">
        <v>0</v>
      </c>
      <c r="Z127">
        <v>10.89</v>
      </c>
      <c r="AA127">
        <v>3.69</v>
      </c>
      <c r="AB127">
        <v>0.51249999999999996</v>
      </c>
      <c r="AC127">
        <v>51.249999999999993</v>
      </c>
      <c r="AD127" t="s">
        <v>2322</v>
      </c>
      <c r="AE127" t="s">
        <v>2322</v>
      </c>
      <c r="AF127" t="s">
        <v>2322</v>
      </c>
    </row>
    <row r="128" spans="1:32" x14ac:dyDescent="0.35">
      <c r="A128" t="s">
        <v>39</v>
      </c>
      <c r="B128">
        <v>863045</v>
      </c>
      <c r="C128" t="s">
        <v>72</v>
      </c>
      <c r="D128" t="s">
        <v>1462</v>
      </c>
      <c r="E128" t="s">
        <v>1463</v>
      </c>
      <c r="F128">
        <v>40</v>
      </c>
      <c r="G128">
        <v>40</v>
      </c>
      <c r="H128">
        <v>8.89</v>
      </c>
      <c r="I128">
        <v>0</v>
      </c>
      <c r="J128">
        <v>48.89</v>
      </c>
      <c r="K128">
        <v>8.89</v>
      </c>
      <c r="L128">
        <v>0.22225000000000009</v>
      </c>
      <c r="M128">
        <v>22.225000000000001</v>
      </c>
      <c r="N128">
        <v>96</v>
      </c>
      <c r="O128">
        <v>96</v>
      </c>
      <c r="P128">
        <v>21.33</v>
      </c>
      <c r="Q128">
        <v>0</v>
      </c>
      <c r="R128">
        <v>117.33</v>
      </c>
      <c r="S128">
        <v>21.33</v>
      </c>
      <c r="T128">
        <v>0.22218750000000001</v>
      </c>
      <c r="U128">
        <v>22.21875</v>
      </c>
      <c r="V128">
        <v>2.4</v>
      </c>
      <c r="W128">
        <v>2.4</v>
      </c>
      <c r="X128">
        <v>0.53</v>
      </c>
      <c r="Y128">
        <v>0</v>
      </c>
      <c r="Z128">
        <v>2.93</v>
      </c>
      <c r="AA128">
        <v>0.5299999999999998</v>
      </c>
      <c r="AB128">
        <v>0.22083333333333319</v>
      </c>
      <c r="AC128">
        <v>22.083333333333321</v>
      </c>
      <c r="AD128" t="s">
        <v>2322</v>
      </c>
      <c r="AE128" t="s">
        <v>2322</v>
      </c>
      <c r="AF128" t="s">
        <v>2322</v>
      </c>
    </row>
    <row r="129" spans="1:32" x14ac:dyDescent="0.35">
      <c r="A129" t="s">
        <v>39</v>
      </c>
      <c r="B129">
        <v>863050</v>
      </c>
      <c r="C129" t="s">
        <v>72</v>
      </c>
      <c r="D129" t="s">
        <v>1471</v>
      </c>
      <c r="E129" t="s">
        <v>1463</v>
      </c>
      <c r="F129">
        <v>60</v>
      </c>
      <c r="G129">
        <v>40</v>
      </c>
      <c r="H129">
        <v>37.94</v>
      </c>
      <c r="I129">
        <v>0</v>
      </c>
      <c r="J129">
        <v>77.94</v>
      </c>
      <c r="K129">
        <v>17.940000000000001</v>
      </c>
      <c r="L129">
        <v>0.29899999999999988</v>
      </c>
      <c r="M129">
        <v>29.899999999999991</v>
      </c>
      <c r="N129">
        <v>104.8</v>
      </c>
      <c r="O129">
        <v>69.87</v>
      </c>
      <c r="P129">
        <v>66.260000000000005</v>
      </c>
      <c r="Q129">
        <v>0</v>
      </c>
      <c r="R129">
        <v>136.13</v>
      </c>
      <c r="S129">
        <v>31.33</v>
      </c>
      <c r="T129">
        <v>0.29895038167938931</v>
      </c>
      <c r="U129">
        <v>29.895038167938921</v>
      </c>
      <c r="V129">
        <v>2.4</v>
      </c>
      <c r="W129">
        <v>1.6</v>
      </c>
      <c r="X129">
        <v>1.52</v>
      </c>
      <c r="Y129">
        <v>0</v>
      </c>
      <c r="Z129">
        <v>3.12</v>
      </c>
      <c r="AA129">
        <v>0.7200000000000002</v>
      </c>
      <c r="AB129">
        <v>0.3</v>
      </c>
      <c r="AC129">
        <v>30</v>
      </c>
      <c r="AD129" t="s">
        <v>2322</v>
      </c>
      <c r="AE129" t="s">
        <v>2322</v>
      </c>
      <c r="AF129" t="s">
        <v>2322</v>
      </c>
    </row>
    <row r="130" spans="1:32" x14ac:dyDescent="0.35">
      <c r="A130" t="s">
        <v>39</v>
      </c>
      <c r="B130">
        <v>868570</v>
      </c>
      <c r="C130" t="s">
        <v>72</v>
      </c>
      <c r="D130" t="s">
        <v>1479</v>
      </c>
      <c r="E130" t="s">
        <v>215</v>
      </c>
      <c r="F130">
        <v>0</v>
      </c>
      <c r="G130">
        <v>32.69</v>
      </c>
      <c r="H130">
        <v>32.69</v>
      </c>
      <c r="I130">
        <v>16.260000000000002</v>
      </c>
      <c r="J130">
        <v>81.64</v>
      </c>
      <c r="K130">
        <v>81.64</v>
      </c>
      <c r="N130">
        <v>0</v>
      </c>
      <c r="O130">
        <v>72.8</v>
      </c>
      <c r="P130">
        <v>72.8</v>
      </c>
      <c r="Q130">
        <v>36.21</v>
      </c>
      <c r="R130">
        <v>181.81</v>
      </c>
      <c r="S130">
        <v>181.81</v>
      </c>
      <c r="V130">
        <v>0</v>
      </c>
      <c r="W130">
        <v>5.67</v>
      </c>
      <c r="X130">
        <v>5.67</v>
      </c>
      <c r="Y130">
        <v>2.82</v>
      </c>
      <c r="Z130">
        <v>14.16</v>
      </c>
      <c r="AA130">
        <v>14.16</v>
      </c>
      <c r="AD130" t="s">
        <v>2321</v>
      </c>
      <c r="AE130" t="s">
        <v>2321</v>
      </c>
      <c r="AF130" t="s">
        <v>2321</v>
      </c>
    </row>
    <row r="131" spans="1:32" x14ac:dyDescent="0.35">
      <c r="A131" t="s">
        <v>39</v>
      </c>
      <c r="B131">
        <v>868830</v>
      </c>
      <c r="C131" t="s">
        <v>72</v>
      </c>
      <c r="D131" t="s">
        <v>1494</v>
      </c>
      <c r="E131" t="s">
        <v>215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D131" t="s">
        <v>2321</v>
      </c>
      <c r="AE131" t="s">
        <v>2321</v>
      </c>
      <c r="AF131" t="s">
        <v>2321</v>
      </c>
    </row>
    <row r="132" spans="1:32" x14ac:dyDescent="0.35">
      <c r="A132" t="s">
        <v>39</v>
      </c>
      <c r="B132">
        <v>868832</v>
      </c>
      <c r="C132" t="s">
        <v>72</v>
      </c>
      <c r="D132" t="s">
        <v>1496</v>
      </c>
      <c r="E132" t="s">
        <v>215</v>
      </c>
      <c r="F132">
        <v>115.04</v>
      </c>
      <c r="G132">
        <v>114.97</v>
      </c>
      <c r="H132">
        <v>137.81</v>
      </c>
      <c r="I132">
        <v>114.8</v>
      </c>
      <c r="J132">
        <v>367.58</v>
      </c>
      <c r="K132">
        <v>252.54</v>
      </c>
      <c r="L132">
        <v>2.195236439499304</v>
      </c>
      <c r="M132">
        <v>219.52364394993049</v>
      </c>
      <c r="N132">
        <v>88.19</v>
      </c>
      <c r="O132">
        <v>88.14</v>
      </c>
      <c r="P132">
        <v>105.65</v>
      </c>
      <c r="Q132">
        <v>88.01</v>
      </c>
      <c r="R132">
        <v>281.8</v>
      </c>
      <c r="S132">
        <v>193.61</v>
      </c>
      <c r="T132">
        <v>2.1953736251275662</v>
      </c>
      <c r="U132">
        <v>219.5373625127566</v>
      </c>
      <c r="V132">
        <v>9.1999999999999993</v>
      </c>
      <c r="W132">
        <v>9.1999999999999993</v>
      </c>
      <c r="X132">
        <v>11.02</v>
      </c>
      <c r="Y132">
        <v>9.18</v>
      </c>
      <c r="Z132">
        <v>29.4</v>
      </c>
      <c r="AA132">
        <v>20.2</v>
      </c>
      <c r="AB132">
        <v>2.195652173913043</v>
      </c>
      <c r="AC132">
        <v>219.56521739130429</v>
      </c>
      <c r="AD132" t="s">
        <v>2322</v>
      </c>
      <c r="AE132" t="s">
        <v>2322</v>
      </c>
      <c r="AF132" t="s">
        <v>2322</v>
      </c>
    </row>
    <row r="133" spans="1:32" x14ac:dyDescent="0.35">
      <c r="A133" t="s">
        <v>39</v>
      </c>
      <c r="B133">
        <v>868833</v>
      </c>
      <c r="C133" t="s">
        <v>72</v>
      </c>
      <c r="D133" t="s">
        <v>1512</v>
      </c>
      <c r="E133" t="s">
        <v>215</v>
      </c>
      <c r="F133">
        <v>49.25</v>
      </c>
      <c r="G133">
        <v>32.83</v>
      </c>
      <c r="H133">
        <v>32.64</v>
      </c>
      <c r="I133">
        <v>32.64</v>
      </c>
      <c r="J133">
        <v>98.11</v>
      </c>
      <c r="K133">
        <v>48.86</v>
      </c>
      <c r="L133">
        <v>0.99208121827411166</v>
      </c>
      <c r="M133">
        <v>99.208121827411162</v>
      </c>
      <c r="N133">
        <v>52.86</v>
      </c>
      <c r="O133">
        <v>35.24</v>
      </c>
      <c r="P133">
        <v>35.03</v>
      </c>
      <c r="Q133">
        <v>35.03</v>
      </c>
      <c r="R133">
        <v>105.3</v>
      </c>
      <c r="S133">
        <v>52.440000000000012</v>
      </c>
      <c r="T133">
        <v>0.99205448354143044</v>
      </c>
      <c r="U133">
        <v>99.205448354143044</v>
      </c>
      <c r="V133">
        <v>5.91</v>
      </c>
      <c r="W133">
        <v>3.94</v>
      </c>
      <c r="X133">
        <v>3.92</v>
      </c>
      <c r="Y133">
        <v>3.92</v>
      </c>
      <c r="Z133">
        <v>11.78</v>
      </c>
      <c r="AA133">
        <v>5.8699999999999992</v>
      </c>
      <c r="AB133">
        <v>0.99323181049069365</v>
      </c>
      <c r="AC133">
        <v>99.323181049069362</v>
      </c>
      <c r="AD133" t="s">
        <v>2322</v>
      </c>
      <c r="AE133" t="s">
        <v>2322</v>
      </c>
      <c r="AF133" t="s">
        <v>2322</v>
      </c>
    </row>
    <row r="134" spans="1:32" x14ac:dyDescent="0.35">
      <c r="A134" t="s">
        <v>39</v>
      </c>
      <c r="B134">
        <v>868834</v>
      </c>
      <c r="C134" t="s">
        <v>72</v>
      </c>
      <c r="D134" t="s">
        <v>1525</v>
      </c>
      <c r="E134" t="s">
        <v>215</v>
      </c>
      <c r="F134">
        <v>4.0999999999999996</v>
      </c>
      <c r="G134">
        <v>8.16</v>
      </c>
      <c r="H134">
        <v>8.16</v>
      </c>
      <c r="I134">
        <v>8.16</v>
      </c>
      <c r="J134">
        <v>24.48</v>
      </c>
      <c r="K134">
        <v>20.38</v>
      </c>
      <c r="L134">
        <v>4.970731707317074</v>
      </c>
      <c r="M134">
        <v>497.07317073170742</v>
      </c>
      <c r="N134">
        <v>15.92</v>
      </c>
      <c r="O134">
        <v>31.65</v>
      </c>
      <c r="P134">
        <v>31.65</v>
      </c>
      <c r="Q134">
        <v>31.65</v>
      </c>
      <c r="R134">
        <v>94.949999999999989</v>
      </c>
      <c r="S134">
        <v>79.029999999999987</v>
      </c>
      <c r="T134">
        <v>4.9641959798994968</v>
      </c>
      <c r="U134">
        <v>496.41959798994969</v>
      </c>
      <c r="V134">
        <v>2.35</v>
      </c>
      <c r="W134">
        <v>4.68</v>
      </c>
      <c r="X134">
        <v>4.68</v>
      </c>
      <c r="Y134">
        <v>4.68</v>
      </c>
      <c r="Z134">
        <v>14.04</v>
      </c>
      <c r="AA134">
        <v>11.69</v>
      </c>
      <c r="AB134">
        <v>4.9744680851063823</v>
      </c>
      <c r="AC134">
        <v>497.44680851063822</v>
      </c>
      <c r="AD134" t="s">
        <v>2322</v>
      </c>
      <c r="AE134" t="s">
        <v>2322</v>
      </c>
      <c r="AF134" t="s">
        <v>2322</v>
      </c>
    </row>
    <row r="135" spans="1:32" x14ac:dyDescent="0.35">
      <c r="A135" t="s">
        <v>39</v>
      </c>
      <c r="B135">
        <v>868848</v>
      </c>
      <c r="C135" t="s">
        <v>72</v>
      </c>
      <c r="D135" t="s">
        <v>1538</v>
      </c>
      <c r="E135" t="s">
        <v>245</v>
      </c>
      <c r="F135">
        <v>43.49</v>
      </c>
      <c r="G135">
        <v>43.53</v>
      </c>
      <c r="H135">
        <v>50.77</v>
      </c>
      <c r="I135">
        <v>43.52</v>
      </c>
      <c r="J135">
        <v>137.82</v>
      </c>
      <c r="K135">
        <v>94.330000000000013</v>
      </c>
      <c r="L135">
        <v>2.1690043688204188</v>
      </c>
      <c r="M135">
        <v>216.9004368820419</v>
      </c>
      <c r="N135">
        <v>62.34</v>
      </c>
      <c r="O135">
        <v>62.39</v>
      </c>
      <c r="P135">
        <v>72.77</v>
      </c>
      <c r="Q135">
        <v>62.38</v>
      </c>
      <c r="R135">
        <v>197.54</v>
      </c>
      <c r="S135">
        <v>135.19999999999999</v>
      </c>
      <c r="T135">
        <v>2.168752005133141</v>
      </c>
      <c r="U135">
        <v>216.8752005133141</v>
      </c>
      <c r="V135">
        <v>1.45</v>
      </c>
      <c r="W135">
        <v>1.45</v>
      </c>
      <c r="X135">
        <v>1.69</v>
      </c>
      <c r="Y135">
        <v>1.45</v>
      </c>
      <c r="Z135">
        <v>4.59</v>
      </c>
      <c r="AA135">
        <v>3.14</v>
      </c>
      <c r="AB135">
        <v>2.1655172413793098</v>
      </c>
      <c r="AC135">
        <v>216.55172413793099</v>
      </c>
      <c r="AD135" t="s">
        <v>2322</v>
      </c>
      <c r="AE135" t="s">
        <v>2322</v>
      </c>
      <c r="AF135" t="s">
        <v>2322</v>
      </c>
    </row>
    <row r="136" spans="1:32" x14ac:dyDescent="0.35">
      <c r="A136" t="s">
        <v>39</v>
      </c>
      <c r="B136">
        <v>868853</v>
      </c>
      <c r="C136" t="s">
        <v>72</v>
      </c>
      <c r="D136" t="s">
        <v>1550</v>
      </c>
      <c r="E136" t="s">
        <v>245</v>
      </c>
      <c r="F136">
        <v>217.47</v>
      </c>
      <c r="G136">
        <v>0</v>
      </c>
      <c r="H136">
        <v>0</v>
      </c>
      <c r="I136">
        <v>0</v>
      </c>
      <c r="J136">
        <v>0</v>
      </c>
      <c r="K136">
        <v>-217.47</v>
      </c>
      <c r="L136">
        <v>-1</v>
      </c>
      <c r="M136">
        <v>100</v>
      </c>
      <c r="N136">
        <v>311.70999999999998</v>
      </c>
      <c r="O136">
        <v>0</v>
      </c>
      <c r="P136">
        <v>0</v>
      </c>
      <c r="Q136">
        <v>0</v>
      </c>
      <c r="R136">
        <v>0</v>
      </c>
      <c r="S136">
        <v>-311.70999999999998</v>
      </c>
      <c r="T136">
        <v>-1</v>
      </c>
      <c r="U136">
        <v>100</v>
      </c>
      <c r="V136">
        <v>7.25</v>
      </c>
      <c r="W136">
        <v>0</v>
      </c>
      <c r="X136">
        <v>0</v>
      </c>
      <c r="Y136">
        <v>0</v>
      </c>
      <c r="Z136">
        <v>0</v>
      </c>
      <c r="AA136">
        <v>-7.25</v>
      </c>
      <c r="AB136">
        <v>-1</v>
      </c>
      <c r="AC136">
        <v>100</v>
      </c>
      <c r="AD136" t="s">
        <v>2322</v>
      </c>
      <c r="AE136" t="s">
        <v>2322</v>
      </c>
      <c r="AF136" t="s">
        <v>2322</v>
      </c>
    </row>
    <row r="137" spans="1:32" x14ac:dyDescent="0.35">
      <c r="A137" t="s">
        <v>39</v>
      </c>
      <c r="B137">
        <v>868869</v>
      </c>
      <c r="C137" t="s">
        <v>72</v>
      </c>
      <c r="D137" t="s">
        <v>1557</v>
      </c>
      <c r="E137" t="s">
        <v>1558</v>
      </c>
      <c r="F137">
        <v>0.94</v>
      </c>
      <c r="G137">
        <v>0.93</v>
      </c>
      <c r="H137">
        <v>1.1100000000000001</v>
      </c>
      <c r="I137">
        <v>0.93</v>
      </c>
      <c r="J137">
        <v>2.97</v>
      </c>
      <c r="K137">
        <v>2.0299999999999998</v>
      </c>
      <c r="L137">
        <v>2.1595744680851068</v>
      </c>
      <c r="M137">
        <v>215.9574468085107</v>
      </c>
      <c r="N137">
        <v>67.22</v>
      </c>
      <c r="O137">
        <v>66.86</v>
      </c>
      <c r="P137">
        <v>80.02</v>
      </c>
      <c r="Q137">
        <v>66.569999999999993</v>
      </c>
      <c r="R137">
        <v>213.45</v>
      </c>
      <c r="S137">
        <v>146.22999999999999</v>
      </c>
      <c r="T137">
        <v>2.17539422790836</v>
      </c>
      <c r="U137">
        <v>217.53942279083611</v>
      </c>
      <c r="V137">
        <v>1.61</v>
      </c>
      <c r="W137">
        <v>1.61</v>
      </c>
      <c r="X137">
        <v>1.92</v>
      </c>
      <c r="Y137">
        <v>1.6</v>
      </c>
      <c r="Z137">
        <v>5.1300000000000008</v>
      </c>
      <c r="AA137">
        <v>3.52</v>
      </c>
      <c r="AB137">
        <v>2.1863354037267082</v>
      </c>
      <c r="AC137">
        <v>218.63354037267081</v>
      </c>
      <c r="AD137" t="s">
        <v>2322</v>
      </c>
      <c r="AE137" t="s">
        <v>2322</v>
      </c>
      <c r="AF137" t="s">
        <v>2322</v>
      </c>
    </row>
    <row r="138" spans="1:32" x14ac:dyDescent="0.35">
      <c r="A138" t="s">
        <v>39</v>
      </c>
      <c r="B138">
        <v>868871</v>
      </c>
      <c r="C138" t="s">
        <v>72</v>
      </c>
      <c r="D138" t="s">
        <v>1567</v>
      </c>
      <c r="E138" t="s">
        <v>1173</v>
      </c>
      <c r="F138">
        <v>0</v>
      </c>
      <c r="G138">
        <v>11.04</v>
      </c>
      <c r="H138">
        <v>11.04</v>
      </c>
      <c r="I138">
        <v>11.04</v>
      </c>
      <c r="J138">
        <v>33.119999999999997</v>
      </c>
      <c r="K138">
        <v>33.119999999999997</v>
      </c>
      <c r="N138">
        <v>0</v>
      </c>
      <c r="O138">
        <v>28.86</v>
      </c>
      <c r="P138">
        <v>28.86</v>
      </c>
      <c r="Q138">
        <v>28.86</v>
      </c>
      <c r="R138">
        <v>86.58</v>
      </c>
      <c r="S138">
        <v>86.58</v>
      </c>
      <c r="V138">
        <v>0</v>
      </c>
      <c r="W138">
        <v>1.25</v>
      </c>
      <c r="X138">
        <v>1.25</v>
      </c>
      <c r="Y138">
        <v>1.25</v>
      </c>
      <c r="Z138">
        <v>3.75</v>
      </c>
      <c r="AA138">
        <v>3.75</v>
      </c>
      <c r="AD138" t="s">
        <v>2321</v>
      </c>
      <c r="AE138" t="s">
        <v>2321</v>
      </c>
      <c r="AF138" t="s">
        <v>2321</v>
      </c>
    </row>
    <row r="139" spans="1:32" x14ac:dyDescent="0.35">
      <c r="A139" t="s">
        <v>39</v>
      </c>
      <c r="B139">
        <v>868876</v>
      </c>
      <c r="C139" t="s">
        <v>72</v>
      </c>
      <c r="D139" t="s">
        <v>1575</v>
      </c>
      <c r="E139" t="s">
        <v>1576</v>
      </c>
      <c r="F139">
        <v>137.85</v>
      </c>
      <c r="G139">
        <v>165.5</v>
      </c>
      <c r="H139">
        <v>193.29</v>
      </c>
      <c r="I139">
        <v>165.72</v>
      </c>
      <c r="J139">
        <v>524.51</v>
      </c>
      <c r="K139">
        <v>386.66</v>
      </c>
      <c r="L139">
        <v>2.8049328980776211</v>
      </c>
      <c r="M139">
        <v>280.4932898077621</v>
      </c>
      <c r="N139">
        <v>134.16999999999999</v>
      </c>
      <c r="O139">
        <v>161.08000000000001</v>
      </c>
      <c r="P139">
        <v>188.14</v>
      </c>
      <c r="Q139">
        <v>161.30000000000001</v>
      </c>
      <c r="R139">
        <v>510.52</v>
      </c>
      <c r="S139">
        <v>376.35</v>
      </c>
      <c r="T139">
        <v>2.8050234776775742</v>
      </c>
      <c r="U139">
        <v>280.50234776775739</v>
      </c>
      <c r="V139">
        <v>41.36</v>
      </c>
      <c r="W139">
        <v>49.65</v>
      </c>
      <c r="X139">
        <v>57.99</v>
      </c>
      <c r="Y139">
        <v>49.72</v>
      </c>
      <c r="Z139">
        <v>157.36000000000001</v>
      </c>
      <c r="AA139">
        <v>116</v>
      </c>
      <c r="AB139">
        <v>2.8046421663442942</v>
      </c>
      <c r="AC139">
        <v>280.46421663442942</v>
      </c>
      <c r="AD139" t="s">
        <v>2322</v>
      </c>
      <c r="AE139" t="s">
        <v>2322</v>
      </c>
      <c r="AF139" t="s">
        <v>2322</v>
      </c>
    </row>
    <row r="140" spans="1:32" x14ac:dyDescent="0.35">
      <c r="A140" t="s">
        <v>39</v>
      </c>
      <c r="B140">
        <v>868899</v>
      </c>
      <c r="C140" t="s">
        <v>72</v>
      </c>
      <c r="D140" t="s">
        <v>1591</v>
      </c>
      <c r="E140" t="s">
        <v>1592</v>
      </c>
      <c r="F140">
        <v>154</v>
      </c>
      <c r="G140">
        <v>231</v>
      </c>
      <c r="H140">
        <v>114.56</v>
      </c>
      <c r="I140">
        <v>153.06</v>
      </c>
      <c r="J140">
        <v>498.62</v>
      </c>
      <c r="K140">
        <v>344.62</v>
      </c>
      <c r="L140">
        <v>2.2377922077922081</v>
      </c>
      <c r="M140">
        <v>223.77922077922079</v>
      </c>
      <c r="N140">
        <v>113.96</v>
      </c>
      <c r="O140">
        <v>170.94</v>
      </c>
      <c r="P140">
        <v>84.78</v>
      </c>
      <c r="Q140">
        <v>113.27</v>
      </c>
      <c r="R140">
        <v>368.99</v>
      </c>
      <c r="S140">
        <v>255.03</v>
      </c>
      <c r="T140">
        <v>2.2378904878904882</v>
      </c>
      <c r="U140">
        <v>223.78904878904879</v>
      </c>
      <c r="V140">
        <v>3.08</v>
      </c>
      <c r="W140">
        <v>4.62</v>
      </c>
      <c r="X140">
        <v>2.29</v>
      </c>
      <c r="Y140">
        <v>3.06</v>
      </c>
      <c r="Z140">
        <v>9.9700000000000006</v>
      </c>
      <c r="AA140">
        <v>6.8900000000000006</v>
      </c>
      <c r="AB140">
        <v>2.2370129870129869</v>
      </c>
      <c r="AC140">
        <v>223.7012987012987</v>
      </c>
      <c r="AD140" t="s">
        <v>2322</v>
      </c>
      <c r="AE140" t="s">
        <v>2322</v>
      </c>
      <c r="AF140" t="s">
        <v>2322</v>
      </c>
    </row>
    <row r="141" spans="1:32" x14ac:dyDescent="0.35">
      <c r="A141" t="s">
        <v>39</v>
      </c>
      <c r="B141">
        <v>868900</v>
      </c>
      <c r="C141" t="s">
        <v>72</v>
      </c>
      <c r="D141" t="s">
        <v>1610</v>
      </c>
      <c r="E141" t="s">
        <v>1592</v>
      </c>
      <c r="F141">
        <v>155.93</v>
      </c>
      <c r="G141">
        <v>155.88</v>
      </c>
      <c r="H141">
        <v>181.42</v>
      </c>
      <c r="I141">
        <v>155.43</v>
      </c>
      <c r="J141">
        <v>492.73</v>
      </c>
      <c r="K141">
        <v>336.8</v>
      </c>
      <c r="L141">
        <v>2.1599435644199318</v>
      </c>
      <c r="M141">
        <v>215.9943564419932</v>
      </c>
      <c r="N141">
        <v>286.91000000000003</v>
      </c>
      <c r="O141">
        <v>286.81</v>
      </c>
      <c r="P141">
        <v>333.81</v>
      </c>
      <c r="Q141">
        <v>285.99</v>
      </c>
      <c r="R141">
        <v>906.61</v>
      </c>
      <c r="S141">
        <v>619.70000000000005</v>
      </c>
      <c r="T141">
        <v>2.159910773413265</v>
      </c>
      <c r="U141">
        <v>215.9910773413265</v>
      </c>
      <c r="V141">
        <v>7.28</v>
      </c>
      <c r="W141">
        <v>7.27</v>
      </c>
      <c r="X141">
        <v>8.4700000000000006</v>
      </c>
      <c r="Y141">
        <v>7.25</v>
      </c>
      <c r="Z141">
        <v>22.99</v>
      </c>
      <c r="AA141">
        <v>15.71</v>
      </c>
      <c r="AB141">
        <v>2.1579670329670328</v>
      </c>
      <c r="AC141">
        <v>215.7967032967033</v>
      </c>
      <c r="AD141" t="s">
        <v>2322</v>
      </c>
      <c r="AE141" t="s">
        <v>2322</v>
      </c>
      <c r="AF141" t="s">
        <v>2322</v>
      </c>
    </row>
    <row r="142" spans="1:32" x14ac:dyDescent="0.35">
      <c r="A142" t="s">
        <v>39</v>
      </c>
      <c r="B142">
        <v>868901</v>
      </c>
      <c r="C142" t="s">
        <v>72</v>
      </c>
      <c r="D142" t="s">
        <v>1627</v>
      </c>
      <c r="E142" t="s">
        <v>1628</v>
      </c>
      <c r="F142">
        <v>39.36</v>
      </c>
      <c r="G142">
        <v>38.979999999999997</v>
      </c>
      <c r="H142">
        <v>38.979999999999997</v>
      </c>
      <c r="I142">
        <v>38.979999999999997</v>
      </c>
      <c r="J142">
        <v>116.94</v>
      </c>
      <c r="K142">
        <v>77.58</v>
      </c>
      <c r="L142">
        <v>1.971036585365854</v>
      </c>
      <c r="M142">
        <v>197.10365853658541</v>
      </c>
      <c r="N142">
        <v>44.35</v>
      </c>
      <c r="O142">
        <v>43.91</v>
      </c>
      <c r="P142">
        <v>43.91</v>
      </c>
      <c r="Q142">
        <v>43.91</v>
      </c>
      <c r="R142">
        <v>131.72999999999999</v>
      </c>
      <c r="S142">
        <v>87.38</v>
      </c>
      <c r="T142">
        <v>1.970236753100338</v>
      </c>
      <c r="U142">
        <v>197.02367531003381</v>
      </c>
      <c r="V142">
        <v>7.35</v>
      </c>
      <c r="W142">
        <v>7.28</v>
      </c>
      <c r="X142">
        <v>7.28</v>
      </c>
      <c r="Y142">
        <v>7.28</v>
      </c>
      <c r="Z142">
        <v>21.84</v>
      </c>
      <c r="AA142">
        <v>14.49</v>
      </c>
      <c r="AB142">
        <v>1.971428571428572</v>
      </c>
      <c r="AC142">
        <v>197.1428571428572</v>
      </c>
      <c r="AD142" t="s">
        <v>2322</v>
      </c>
      <c r="AE142" t="s">
        <v>2322</v>
      </c>
      <c r="AF142" t="s">
        <v>2322</v>
      </c>
    </row>
    <row r="143" spans="1:32" x14ac:dyDescent="0.35">
      <c r="A143" t="s">
        <v>39</v>
      </c>
      <c r="B143">
        <v>868902</v>
      </c>
      <c r="C143" t="s">
        <v>72</v>
      </c>
      <c r="D143" t="s">
        <v>1635</v>
      </c>
      <c r="E143" t="s">
        <v>1628</v>
      </c>
      <c r="F143">
        <v>7.88</v>
      </c>
      <c r="G143">
        <v>7.73</v>
      </c>
      <c r="H143">
        <v>11.67</v>
      </c>
      <c r="I143">
        <v>11.67</v>
      </c>
      <c r="J143">
        <v>31.07</v>
      </c>
      <c r="K143">
        <v>23.19</v>
      </c>
      <c r="L143">
        <v>2.9428934010152279</v>
      </c>
      <c r="M143">
        <v>294.28934010152278</v>
      </c>
      <c r="N143">
        <v>64.77</v>
      </c>
      <c r="O143">
        <v>63.52</v>
      </c>
      <c r="P143">
        <v>95.9</v>
      </c>
      <c r="Q143">
        <v>95.9</v>
      </c>
      <c r="R143">
        <v>255.32</v>
      </c>
      <c r="S143">
        <v>190.55</v>
      </c>
      <c r="T143">
        <v>2.9419484329164738</v>
      </c>
      <c r="U143">
        <v>294.19484329164737</v>
      </c>
      <c r="V143">
        <v>2.57</v>
      </c>
      <c r="W143">
        <v>2.52</v>
      </c>
      <c r="X143">
        <v>3.81</v>
      </c>
      <c r="Y143">
        <v>3.81</v>
      </c>
      <c r="Z143">
        <v>10.14</v>
      </c>
      <c r="AA143">
        <v>7.57</v>
      </c>
      <c r="AB143">
        <v>2.945525291828794</v>
      </c>
      <c r="AC143">
        <v>294.55252918287943</v>
      </c>
      <c r="AD143" t="s">
        <v>2322</v>
      </c>
      <c r="AE143" t="s">
        <v>2322</v>
      </c>
      <c r="AF143" t="s">
        <v>2322</v>
      </c>
    </row>
    <row r="144" spans="1:32" x14ac:dyDescent="0.35">
      <c r="A144" t="s">
        <v>39</v>
      </c>
      <c r="B144">
        <v>868903</v>
      </c>
      <c r="C144" t="s">
        <v>72</v>
      </c>
      <c r="D144" t="s">
        <v>1649</v>
      </c>
      <c r="E144" t="s">
        <v>1628</v>
      </c>
      <c r="F144">
        <v>12.91</v>
      </c>
      <c r="G144">
        <v>12.71</v>
      </c>
      <c r="H144">
        <v>25.62</v>
      </c>
      <c r="I144">
        <v>12.71</v>
      </c>
      <c r="J144">
        <v>51.04</v>
      </c>
      <c r="K144">
        <v>38.130000000000003</v>
      </c>
      <c r="L144">
        <v>2.953524399690163</v>
      </c>
      <c r="M144">
        <v>295.35243996901619</v>
      </c>
      <c r="N144">
        <v>15.75</v>
      </c>
      <c r="O144">
        <v>15.51</v>
      </c>
      <c r="P144">
        <v>31.26</v>
      </c>
      <c r="Q144">
        <v>15.51</v>
      </c>
      <c r="R144">
        <v>62.28</v>
      </c>
      <c r="S144">
        <v>46.53</v>
      </c>
      <c r="T144">
        <v>2.9542857142857142</v>
      </c>
      <c r="U144">
        <v>295.42857142857139</v>
      </c>
      <c r="V144">
        <v>4.5599999999999996</v>
      </c>
      <c r="W144">
        <v>4.49</v>
      </c>
      <c r="X144">
        <v>9.0500000000000007</v>
      </c>
      <c r="Y144">
        <v>4.49</v>
      </c>
      <c r="Z144">
        <v>18.03</v>
      </c>
      <c r="AA144">
        <v>13.47</v>
      </c>
      <c r="AB144">
        <v>2.9539473684210531</v>
      </c>
      <c r="AC144">
        <v>295.39473684210532</v>
      </c>
      <c r="AD144" t="s">
        <v>2322</v>
      </c>
      <c r="AE144" t="s">
        <v>2322</v>
      </c>
      <c r="AF144" t="s">
        <v>2322</v>
      </c>
    </row>
    <row r="145" spans="1:32" x14ac:dyDescent="0.35">
      <c r="A145" t="s">
        <v>39</v>
      </c>
      <c r="B145">
        <v>868855</v>
      </c>
      <c r="C145" t="s">
        <v>72</v>
      </c>
      <c r="D145" t="s">
        <v>1664</v>
      </c>
      <c r="E145" t="s">
        <v>1558</v>
      </c>
      <c r="F145">
        <v>130.63999999999999</v>
      </c>
      <c r="G145">
        <v>148.86000000000001</v>
      </c>
      <c r="H145">
        <v>148.96</v>
      </c>
      <c r="I145">
        <v>148.96</v>
      </c>
      <c r="J145">
        <v>446.78000000000009</v>
      </c>
      <c r="K145">
        <v>316.1400000000001</v>
      </c>
      <c r="L145">
        <v>2.4199326393141471</v>
      </c>
      <c r="M145">
        <v>241.9932639314147</v>
      </c>
      <c r="N145">
        <v>99.29</v>
      </c>
      <c r="O145">
        <v>113.14</v>
      </c>
      <c r="P145">
        <v>113.21</v>
      </c>
      <c r="Q145">
        <v>113.21</v>
      </c>
      <c r="R145">
        <v>339.56</v>
      </c>
      <c r="S145">
        <v>240.27</v>
      </c>
      <c r="T145">
        <v>2.4198811562090849</v>
      </c>
      <c r="U145">
        <v>241.98811562090839</v>
      </c>
      <c r="V145">
        <v>2.61</v>
      </c>
      <c r="W145">
        <v>2.98</v>
      </c>
      <c r="X145">
        <v>2.98</v>
      </c>
      <c r="Y145">
        <v>2.98</v>
      </c>
      <c r="Z145">
        <v>8.94</v>
      </c>
      <c r="AA145">
        <v>6.33</v>
      </c>
      <c r="AB145">
        <v>2.4252873563218391</v>
      </c>
      <c r="AC145">
        <v>242.5287356321839</v>
      </c>
      <c r="AD145" t="s">
        <v>2322</v>
      </c>
      <c r="AE145" t="s">
        <v>2322</v>
      </c>
      <c r="AF145" t="s">
        <v>2322</v>
      </c>
    </row>
    <row r="146" spans="1:32" x14ac:dyDescent="0.35">
      <c r="A146" t="s">
        <v>39</v>
      </c>
      <c r="B146">
        <v>868866</v>
      </c>
      <c r="C146" t="s">
        <v>72</v>
      </c>
      <c r="D146" t="s">
        <v>1679</v>
      </c>
      <c r="E146" t="s">
        <v>1558</v>
      </c>
      <c r="F146">
        <v>50.72</v>
      </c>
      <c r="G146">
        <v>63.2</v>
      </c>
      <c r="H146">
        <v>69.53</v>
      </c>
      <c r="I146">
        <v>69.53</v>
      </c>
      <c r="J146">
        <v>202.26</v>
      </c>
      <c r="K146">
        <v>151.54</v>
      </c>
      <c r="L146">
        <v>2.987776025236593</v>
      </c>
      <c r="M146">
        <v>298.77760252365943</v>
      </c>
      <c r="N146">
        <v>85.89</v>
      </c>
      <c r="O146">
        <v>107.03</v>
      </c>
      <c r="P146">
        <v>117.74</v>
      </c>
      <c r="Q146">
        <v>117.74</v>
      </c>
      <c r="R146">
        <v>342.51</v>
      </c>
      <c r="S146">
        <v>256.62</v>
      </c>
      <c r="T146">
        <v>2.9877750611246938</v>
      </c>
      <c r="U146">
        <v>298.77750611246938</v>
      </c>
      <c r="V146">
        <v>2.0299999999999998</v>
      </c>
      <c r="W146">
        <v>2.5299999999999998</v>
      </c>
      <c r="X146">
        <v>2.78</v>
      </c>
      <c r="Y146">
        <v>2.78</v>
      </c>
      <c r="Z146">
        <v>8.09</v>
      </c>
      <c r="AA146">
        <v>6.06</v>
      </c>
      <c r="AB146">
        <v>2.985221674876847</v>
      </c>
      <c r="AC146">
        <v>298.52216748768473</v>
      </c>
      <c r="AD146" t="s">
        <v>2322</v>
      </c>
      <c r="AE146" t="s">
        <v>2322</v>
      </c>
      <c r="AF146" t="s">
        <v>2322</v>
      </c>
    </row>
    <row r="147" spans="1:32" x14ac:dyDescent="0.35">
      <c r="A147" t="s">
        <v>39</v>
      </c>
      <c r="B147">
        <v>868873</v>
      </c>
      <c r="C147" t="s">
        <v>72</v>
      </c>
      <c r="D147" t="s">
        <v>1696</v>
      </c>
      <c r="E147" t="s">
        <v>1173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D147" t="s">
        <v>2321</v>
      </c>
      <c r="AE147" t="s">
        <v>2321</v>
      </c>
      <c r="AF147" t="s">
        <v>2321</v>
      </c>
    </row>
    <row r="148" spans="1:32" x14ac:dyDescent="0.35">
      <c r="A148" t="s">
        <v>39</v>
      </c>
      <c r="B148">
        <v>868875</v>
      </c>
      <c r="C148" t="s">
        <v>72</v>
      </c>
      <c r="D148" t="s">
        <v>1702</v>
      </c>
      <c r="E148" t="s">
        <v>1173</v>
      </c>
      <c r="F148">
        <v>0</v>
      </c>
      <c r="G148">
        <v>12.23</v>
      </c>
      <c r="H148">
        <v>12.23</v>
      </c>
      <c r="I148">
        <v>12.23</v>
      </c>
      <c r="J148">
        <v>36.69</v>
      </c>
      <c r="K148">
        <v>36.69</v>
      </c>
      <c r="N148">
        <v>0</v>
      </c>
      <c r="O148">
        <v>70.36</v>
      </c>
      <c r="P148">
        <v>70.36</v>
      </c>
      <c r="Q148">
        <v>70.36</v>
      </c>
      <c r="R148">
        <v>211.08</v>
      </c>
      <c r="S148">
        <v>211.08</v>
      </c>
      <c r="V148">
        <v>0</v>
      </c>
      <c r="W148">
        <v>7.58</v>
      </c>
      <c r="X148">
        <v>7.58</v>
      </c>
      <c r="Y148">
        <v>7.58</v>
      </c>
      <c r="Z148">
        <v>22.74</v>
      </c>
      <c r="AA148">
        <v>22.74</v>
      </c>
      <c r="AD148" t="s">
        <v>2321</v>
      </c>
      <c r="AE148" t="s">
        <v>2321</v>
      </c>
      <c r="AF148" t="s">
        <v>2321</v>
      </c>
    </row>
    <row r="149" spans="1:32" x14ac:dyDescent="0.35">
      <c r="A149" t="s">
        <v>39</v>
      </c>
      <c r="B149">
        <v>878021</v>
      </c>
      <c r="C149" t="s">
        <v>72</v>
      </c>
      <c r="D149" t="s">
        <v>1710</v>
      </c>
      <c r="E149" t="s">
        <v>943</v>
      </c>
      <c r="F149">
        <v>152</v>
      </c>
      <c r="G149">
        <v>110.96</v>
      </c>
      <c r="H149">
        <v>30.6</v>
      </c>
      <c r="I149">
        <v>34.44</v>
      </c>
      <c r="J149">
        <v>176</v>
      </c>
      <c r="K149">
        <v>24</v>
      </c>
      <c r="L149">
        <v>0.15789473684210531</v>
      </c>
      <c r="M149">
        <v>15.789473684210529</v>
      </c>
      <c r="N149">
        <v>120.97</v>
      </c>
      <c r="O149">
        <v>88.3</v>
      </c>
      <c r="P149">
        <v>24.35</v>
      </c>
      <c r="Q149">
        <v>27.41</v>
      </c>
      <c r="R149">
        <v>140.06</v>
      </c>
      <c r="S149">
        <v>19.09</v>
      </c>
      <c r="T149">
        <v>0.1578077209225428</v>
      </c>
      <c r="U149">
        <v>15.78077209225428</v>
      </c>
      <c r="V149">
        <v>4.22</v>
      </c>
      <c r="W149">
        <v>3.08</v>
      </c>
      <c r="X149">
        <v>0.85</v>
      </c>
      <c r="Y149">
        <v>0.96</v>
      </c>
      <c r="Z149">
        <v>4.8900000000000006</v>
      </c>
      <c r="AA149">
        <v>0.67000000000000082</v>
      </c>
      <c r="AB149">
        <v>0.15876777251184859</v>
      </c>
      <c r="AC149">
        <v>15.87677725118486</v>
      </c>
      <c r="AD149" t="s">
        <v>2322</v>
      </c>
      <c r="AE149" t="s">
        <v>2322</v>
      </c>
      <c r="AF149" t="s">
        <v>2322</v>
      </c>
    </row>
    <row r="150" spans="1:32" x14ac:dyDescent="0.35">
      <c r="A150" t="s">
        <v>39</v>
      </c>
      <c r="B150">
        <v>882028</v>
      </c>
      <c r="C150" t="s">
        <v>72</v>
      </c>
      <c r="D150" t="s">
        <v>1730</v>
      </c>
      <c r="E150" t="s">
        <v>215</v>
      </c>
      <c r="F150">
        <v>22.6</v>
      </c>
      <c r="G150">
        <v>22.6</v>
      </c>
      <c r="H150">
        <v>22.6</v>
      </c>
      <c r="I150">
        <v>22.6</v>
      </c>
      <c r="J150">
        <v>67.800000000000011</v>
      </c>
      <c r="K150">
        <v>45.20000000000001</v>
      </c>
      <c r="L150">
        <v>2</v>
      </c>
      <c r="M150">
        <v>200.00000000000011</v>
      </c>
      <c r="N150">
        <v>25.36</v>
      </c>
      <c r="O150">
        <v>25.36</v>
      </c>
      <c r="P150">
        <v>25.36</v>
      </c>
      <c r="Q150">
        <v>25.36</v>
      </c>
      <c r="R150">
        <v>76.08</v>
      </c>
      <c r="S150">
        <v>50.72</v>
      </c>
      <c r="T150">
        <v>2</v>
      </c>
      <c r="U150">
        <v>200</v>
      </c>
      <c r="V150">
        <v>1.36</v>
      </c>
      <c r="W150">
        <v>1.36</v>
      </c>
      <c r="X150">
        <v>1.36</v>
      </c>
      <c r="Y150">
        <v>1.36</v>
      </c>
      <c r="Z150">
        <v>4.08</v>
      </c>
      <c r="AA150">
        <v>2.72</v>
      </c>
      <c r="AB150">
        <v>2</v>
      </c>
      <c r="AC150">
        <v>200</v>
      </c>
      <c r="AD150" t="s">
        <v>2322</v>
      </c>
      <c r="AE150" t="s">
        <v>2322</v>
      </c>
      <c r="AF150" t="s">
        <v>2322</v>
      </c>
    </row>
    <row r="151" spans="1:32" x14ac:dyDescent="0.35">
      <c r="A151" t="s">
        <v>39</v>
      </c>
      <c r="B151">
        <v>942040</v>
      </c>
      <c r="C151" t="s">
        <v>41</v>
      </c>
      <c r="D151" t="s">
        <v>1736</v>
      </c>
      <c r="E151" t="s">
        <v>74</v>
      </c>
      <c r="F151">
        <v>0</v>
      </c>
      <c r="G151">
        <v>0.42</v>
      </c>
      <c r="H151">
        <v>0.42</v>
      </c>
      <c r="I151">
        <v>0.42</v>
      </c>
      <c r="J151">
        <v>1.26</v>
      </c>
      <c r="K151">
        <v>1.26</v>
      </c>
      <c r="N151">
        <v>0</v>
      </c>
      <c r="O151">
        <v>43.17</v>
      </c>
      <c r="P151">
        <v>43.17</v>
      </c>
      <c r="Q151">
        <v>43.17</v>
      </c>
      <c r="R151">
        <v>129.51</v>
      </c>
      <c r="S151">
        <v>129.51</v>
      </c>
      <c r="V151">
        <v>0</v>
      </c>
      <c r="W151">
        <v>1.54</v>
      </c>
      <c r="X151">
        <v>1.54</v>
      </c>
      <c r="Y151">
        <v>1.54</v>
      </c>
      <c r="Z151">
        <v>4.62</v>
      </c>
      <c r="AA151">
        <v>4.62</v>
      </c>
      <c r="AD151" t="s">
        <v>2321</v>
      </c>
      <c r="AE151" t="s">
        <v>2321</v>
      </c>
      <c r="AF151" t="s">
        <v>2321</v>
      </c>
    </row>
    <row r="152" spans="1:32" x14ac:dyDescent="0.35">
      <c r="A152" t="s">
        <v>39</v>
      </c>
      <c r="B152">
        <v>946579</v>
      </c>
      <c r="C152" t="s">
        <v>41</v>
      </c>
      <c r="D152" t="s">
        <v>1742</v>
      </c>
      <c r="E152" t="s">
        <v>1743</v>
      </c>
      <c r="F152">
        <v>0</v>
      </c>
      <c r="G152">
        <v>1.82</v>
      </c>
      <c r="H152">
        <v>2.08</v>
      </c>
      <c r="I152">
        <v>1.82</v>
      </c>
      <c r="J152">
        <v>5.7200000000000006</v>
      </c>
      <c r="K152">
        <v>5.7200000000000006</v>
      </c>
      <c r="N152">
        <v>0</v>
      </c>
      <c r="O152">
        <v>187.46</v>
      </c>
      <c r="P152">
        <v>214.24</v>
      </c>
      <c r="Q152">
        <v>187.46</v>
      </c>
      <c r="R152">
        <v>589.16000000000008</v>
      </c>
      <c r="S152">
        <v>589.16000000000008</v>
      </c>
      <c r="V152">
        <v>0</v>
      </c>
      <c r="W152">
        <v>6.71</v>
      </c>
      <c r="X152">
        <v>7.67</v>
      </c>
      <c r="Y152">
        <v>6.71</v>
      </c>
      <c r="Z152">
        <v>21.09</v>
      </c>
      <c r="AA152">
        <v>21.09</v>
      </c>
      <c r="AD152" t="s">
        <v>2321</v>
      </c>
      <c r="AE152" t="s">
        <v>2321</v>
      </c>
      <c r="AF152" t="s">
        <v>2321</v>
      </c>
    </row>
    <row r="153" spans="1:32" x14ac:dyDescent="0.35">
      <c r="A153" t="s">
        <v>39</v>
      </c>
      <c r="B153">
        <v>944809</v>
      </c>
      <c r="C153" t="s">
        <v>72</v>
      </c>
      <c r="D153" t="s">
        <v>1748</v>
      </c>
      <c r="E153" t="s">
        <v>692</v>
      </c>
      <c r="F153">
        <v>0</v>
      </c>
      <c r="G153">
        <v>5.03</v>
      </c>
      <c r="H153">
        <v>5.8</v>
      </c>
      <c r="I153">
        <v>5.8</v>
      </c>
      <c r="J153">
        <v>16.63</v>
      </c>
      <c r="K153">
        <v>16.63</v>
      </c>
      <c r="N153">
        <v>0</v>
      </c>
      <c r="O153">
        <v>10.39</v>
      </c>
      <c r="P153">
        <v>12</v>
      </c>
      <c r="Q153">
        <v>12</v>
      </c>
      <c r="R153">
        <v>34.39</v>
      </c>
      <c r="S153">
        <v>34.39</v>
      </c>
      <c r="V153">
        <v>0</v>
      </c>
      <c r="W153">
        <v>0.31</v>
      </c>
      <c r="X153">
        <v>0.35</v>
      </c>
      <c r="Y153">
        <v>0.35</v>
      </c>
      <c r="Z153">
        <v>1.01</v>
      </c>
      <c r="AA153">
        <v>1.01</v>
      </c>
      <c r="AD153" t="s">
        <v>2321</v>
      </c>
      <c r="AE153" t="s">
        <v>2321</v>
      </c>
      <c r="AF153" t="s">
        <v>2321</v>
      </c>
    </row>
    <row r="154" spans="1:32" x14ac:dyDescent="0.35">
      <c r="A154" t="s">
        <v>39</v>
      </c>
      <c r="B154">
        <v>944811</v>
      </c>
      <c r="C154" t="s">
        <v>72</v>
      </c>
      <c r="D154" t="s">
        <v>1756</v>
      </c>
      <c r="E154" t="s">
        <v>692</v>
      </c>
      <c r="F154">
        <v>0</v>
      </c>
      <c r="G154">
        <v>25.06</v>
      </c>
      <c r="H154">
        <v>25.06</v>
      </c>
      <c r="I154">
        <v>25.06</v>
      </c>
      <c r="J154">
        <v>75.179999999999993</v>
      </c>
      <c r="K154">
        <v>75.179999999999993</v>
      </c>
      <c r="N154">
        <v>0</v>
      </c>
      <c r="O154">
        <v>15.54</v>
      </c>
      <c r="P154">
        <v>15.54</v>
      </c>
      <c r="Q154">
        <v>15.54</v>
      </c>
      <c r="R154">
        <v>46.62</v>
      </c>
      <c r="S154">
        <v>46.62</v>
      </c>
      <c r="V154">
        <v>0</v>
      </c>
      <c r="W154">
        <v>0.46</v>
      </c>
      <c r="X154">
        <v>0.46</v>
      </c>
      <c r="Y154">
        <v>0.46</v>
      </c>
      <c r="Z154">
        <v>1.38</v>
      </c>
      <c r="AA154">
        <v>1.38</v>
      </c>
      <c r="AD154" t="s">
        <v>2321</v>
      </c>
      <c r="AE154" t="s">
        <v>2321</v>
      </c>
      <c r="AF154" t="s">
        <v>2321</v>
      </c>
    </row>
    <row r="155" spans="1:32" x14ac:dyDescent="0.35">
      <c r="A155" t="s">
        <v>39</v>
      </c>
      <c r="B155">
        <v>944810</v>
      </c>
      <c r="C155" t="s">
        <v>72</v>
      </c>
      <c r="D155" t="s">
        <v>1764</v>
      </c>
      <c r="E155" t="s">
        <v>692</v>
      </c>
      <c r="F155">
        <v>0</v>
      </c>
      <c r="G155">
        <v>1.64</v>
      </c>
      <c r="H155">
        <v>3.28</v>
      </c>
      <c r="I155">
        <v>3.28</v>
      </c>
      <c r="J155">
        <v>8.1999999999999993</v>
      </c>
      <c r="K155">
        <v>8.1999999999999993</v>
      </c>
      <c r="N155">
        <v>0</v>
      </c>
      <c r="O155">
        <v>2.12</v>
      </c>
      <c r="P155">
        <v>4.24</v>
      </c>
      <c r="Q155">
        <v>4.24</v>
      </c>
      <c r="R155">
        <v>10.6</v>
      </c>
      <c r="S155">
        <v>10.6</v>
      </c>
      <c r="V155">
        <v>0</v>
      </c>
      <c r="W155">
        <v>0.16</v>
      </c>
      <c r="X155">
        <v>0.32</v>
      </c>
      <c r="Y155">
        <v>0.32</v>
      </c>
      <c r="Z155">
        <v>0.8</v>
      </c>
      <c r="AA155">
        <v>0.8</v>
      </c>
      <c r="AD155" t="s">
        <v>2321</v>
      </c>
      <c r="AE155" t="s">
        <v>2321</v>
      </c>
      <c r="AF155" t="s">
        <v>2321</v>
      </c>
    </row>
    <row r="156" spans="1:32" x14ac:dyDescent="0.35">
      <c r="A156" t="s">
        <v>39</v>
      </c>
      <c r="B156">
        <v>770407</v>
      </c>
      <c r="C156" t="s">
        <v>41</v>
      </c>
      <c r="D156" t="s">
        <v>1770</v>
      </c>
      <c r="E156" t="s">
        <v>1771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D156" t="s">
        <v>2321</v>
      </c>
      <c r="AE156" t="s">
        <v>2321</v>
      </c>
      <c r="AF156" t="s">
        <v>2321</v>
      </c>
    </row>
    <row r="157" spans="1:32" x14ac:dyDescent="0.35">
      <c r="A157" t="s">
        <v>39</v>
      </c>
      <c r="B157">
        <v>838918</v>
      </c>
      <c r="C157" t="s">
        <v>41</v>
      </c>
      <c r="D157" t="s">
        <v>1775</v>
      </c>
      <c r="E157" t="s">
        <v>1776</v>
      </c>
      <c r="F157">
        <v>2.2000000000000002</v>
      </c>
      <c r="G157">
        <v>1.6</v>
      </c>
      <c r="H157">
        <v>1.96</v>
      </c>
      <c r="I157">
        <v>1.95</v>
      </c>
      <c r="J157">
        <v>5.51</v>
      </c>
      <c r="K157">
        <v>3.31</v>
      </c>
      <c r="L157">
        <v>1.504545454545454</v>
      </c>
      <c r="M157">
        <v>150.45454545454541</v>
      </c>
      <c r="V157">
        <v>484.51</v>
      </c>
      <c r="W157">
        <v>352.37</v>
      </c>
      <c r="X157">
        <v>431.4</v>
      </c>
      <c r="Y157">
        <v>429.28</v>
      </c>
      <c r="Z157">
        <v>1213.05</v>
      </c>
      <c r="AA157">
        <v>728.54</v>
      </c>
      <c r="AB157">
        <v>1.503663495077501</v>
      </c>
      <c r="AC157">
        <v>150.3663495077501</v>
      </c>
      <c r="AD157" t="s">
        <v>2322</v>
      </c>
      <c r="AE157" t="s">
        <v>2321</v>
      </c>
      <c r="AF157" t="s">
        <v>2322</v>
      </c>
    </row>
    <row r="158" spans="1:32" x14ac:dyDescent="0.35">
      <c r="A158" t="s">
        <v>39</v>
      </c>
      <c r="B158">
        <v>580262</v>
      </c>
      <c r="C158" t="s">
        <v>41</v>
      </c>
      <c r="D158" t="s">
        <v>1799</v>
      </c>
      <c r="E158" t="s">
        <v>1800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D158" t="s">
        <v>2321</v>
      </c>
      <c r="AE158" t="s">
        <v>2321</v>
      </c>
      <c r="AF158" t="s">
        <v>2321</v>
      </c>
    </row>
    <row r="159" spans="1:32" x14ac:dyDescent="0.35">
      <c r="A159" t="s">
        <v>39</v>
      </c>
      <c r="B159">
        <v>580263</v>
      </c>
      <c r="C159" t="s">
        <v>41</v>
      </c>
      <c r="D159" t="s">
        <v>1804</v>
      </c>
      <c r="E159" t="s">
        <v>1805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D159" t="s">
        <v>2321</v>
      </c>
      <c r="AE159" t="s">
        <v>2321</v>
      </c>
      <c r="AF159" t="s">
        <v>2321</v>
      </c>
    </row>
    <row r="160" spans="1:32" x14ac:dyDescent="0.35">
      <c r="A160" t="s">
        <v>39</v>
      </c>
      <c r="B160">
        <v>580264</v>
      </c>
      <c r="C160" t="s">
        <v>41</v>
      </c>
      <c r="D160" t="s">
        <v>1810</v>
      </c>
      <c r="E160" t="s">
        <v>1805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D160" t="s">
        <v>2321</v>
      </c>
      <c r="AE160" t="s">
        <v>2321</v>
      </c>
      <c r="AF160" t="s">
        <v>2321</v>
      </c>
    </row>
    <row r="161" spans="1:32" x14ac:dyDescent="0.35">
      <c r="A161" t="s">
        <v>39</v>
      </c>
      <c r="B161">
        <v>580266</v>
      </c>
      <c r="C161" t="s">
        <v>41</v>
      </c>
      <c r="D161" t="s">
        <v>1815</v>
      </c>
      <c r="E161" t="s">
        <v>1805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D161" t="s">
        <v>2321</v>
      </c>
      <c r="AE161" t="s">
        <v>2321</v>
      </c>
      <c r="AF161" t="s">
        <v>2321</v>
      </c>
    </row>
    <row r="162" spans="1:32" x14ac:dyDescent="0.35">
      <c r="A162" t="s">
        <v>39</v>
      </c>
      <c r="B162">
        <v>674905</v>
      </c>
      <c r="C162" t="s">
        <v>41</v>
      </c>
      <c r="D162" t="s">
        <v>1821</v>
      </c>
      <c r="E162" t="s">
        <v>1822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D162" t="s">
        <v>2321</v>
      </c>
      <c r="AE162" t="s">
        <v>2321</v>
      </c>
      <c r="AF162" t="s">
        <v>2321</v>
      </c>
    </row>
    <row r="163" spans="1:32" x14ac:dyDescent="0.35">
      <c r="A163" t="s">
        <v>39</v>
      </c>
      <c r="B163">
        <v>867817</v>
      </c>
      <c r="C163" t="s">
        <v>41</v>
      </c>
      <c r="D163" t="s">
        <v>1827</v>
      </c>
      <c r="E163" t="s">
        <v>1828</v>
      </c>
      <c r="F163">
        <v>10.78</v>
      </c>
      <c r="G163">
        <v>19.48</v>
      </c>
      <c r="H163">
        <v>20.9</v>
      </c>
      <c r="I163">
        <v>20.9</v>
      </c>
      <c r="J163">
        <v>61.279999999999987</v>
      </c>
      <c r="K163">
        <v>50.499999999999993</v>
      </c>
      <c r="L163">
        <v>4.6846011131725414</v>
      </c>
      <c r="M163">
        <v>468.46011131725407</v>
      </c>
      <c r="N163">
        <v>843.25</v>
      </c>
      <c r="V163">
        <v>30.17</v>
      </c>
      <c r="W163">
        <v>54.53</v>
      </c>
      <c r="X163">
        <v>58.52</v>
      </c>
      <c r="Y163">
        <v>58.52</v>
      </c>
      <c r="Z163">
        <v>171.57</v>
      </c>
      <c r="AA163">
        <v>141.4</v>
      </c>
      <c r="AB163">
        <v>4.6867749419953597</v>
      </c>
      <c r="AC163">
        <v>468.677494199536</v>
      </c>
      <c r="AD163" t="s">
        <v>2322</v>
      </c>
      <c r="AE163" t="s">
        <v>2321</v>
      </c>
      <c r="AF163" t="s">
        <v>2322</v>
      </c>
    </row>
    <row r="164" spans="1:32" x14ac:dyDescent="0.35">
      <c r="A164" t="s">
        <v>39</v>
      </c>
      <c r="B164">
        <v>584772</v>
      </c>
      <c r="C164" t="s">
        <v>41</v>
      </c>
      <c r="D164" t="s">
        <v>1849</v>
      </c>
      <c r="E164" t="s">
        <v>1850</v>
      </c>
      <c r="F164">
        <v>3</v>
      </c>
      <c r="G164">
        <v>3</v>
      </c>
      <c r="H164">
        <v>3</v>
      </c>
      <c r="I164">
        <v>3</v>
      </c>
      <c r="J164">
        <v>9</v>
      </c>
      <c r="K164">
        <v>6</v>
      </c>
      <c r="L164">
        <v>2</v>
      </c>
      <c r="M164">
        <v>200</v>
      </c>
      <c r="V164">
        <v>99.66</v>
      </c>
      <c r="W164">
        <v>99.66</v>
      </c>
      <c r="X164">
        <v>99.66</v>
      </c>
      <c r="Y164">
        <v>99.66</v>
      </c>
      <c r="Z164">
        <v>298.98</v>
      </c>
      <c r="AA164">
        <v>199.32</v>
      </c>
      <c r="AB164">
        <v>2</v>
      </c>
      <c r="AC164">
        <v>200.00000000000011</v>
      </c>
      <c r="AD164" t="s">
        <v>2322</v>
      </c>
      <c r="AE164" t="s">
        <v>2321</v>
      </c>
      <c r="AF164" t="s">
        <v>2322</v>
      </c>
    </row>
    <row r="165" spans="1:32" x14ac:dyDescent="0.35">
      <c r="A165" t="s">
        <v>39</v>
      </c>
      <c r="B165">
        <v>832626</v>
      </c>
      <c r="C165" t="s">
        <v>41</v>
      </c>
      <c r="D165" t="s">
        <v>1856</v>
      </c>
      <c r="E165" t="s">
        <v>1857</v>
      </c>
      <c r="F165">
        <v>0.2</v>
      </c>
      <c r="G165">
        <v>0.2</v>
      </c>
      <c r="H165">
        <v>0.19</v>
      </c>
      <c r="I165">
        <v>0.19</v>
      </c>
      <c r="J165">
        <v>0.58000000000000007</v>
      </c>
      <c r="K165">
        <v>0.38000000000000012</v>
      </c>
      <c r="L165">
        <v>1.9</v>
      </c>
      <c r="M165">
        <v>190</v>
      </c>
      <c r="N165">
        <v>73.040000000000006</v>
      </c>
      <c r="O165">
        <v>73.040000000000006</v>
      </c>
      <c r="P165">
        <v>69.39</v>
      </c>
      <c r="Q165">
        <v>69.39</v>
      </c>
      <c r="R165">
        <v>211.82</v>
      </c>
      <c r="S165">
        <v>138.78</v>
      </c>
      <c r="T165">
        <v>1.9000547645125949</v>
      </c>
      <c r="U165">
        <v>190.00547645125951</v>
      </c>
      <c r="V165">
        <v>2.61</v>
      </c>
      <c r="W165">
        <v>2.61</v>
      </c>
      <c r="X165">
        <v>2.48</v>
      </c>
      <c r="Y165">
        <v>2.48</v>
      </c>
      <c r="Z165">
        <v>7.57</v>
      </c>
      <c r="AA165">
        <v>4.9600000000000009</v>
      </c>
      <c r="AB165">
        <v>1.9003831417624519</v>
      </c>
      <c r="AC165">
        <v>190.03831417624519</v>
      </c>
      <c r="AD165" t="s">
        <v>2322</v>
      </c>
      <c r="AE165" t="s">
        <v>2322</v>
      </c>
      <c r="AF165" t="s">
        <v>2322</v>
      </c>
    </row>
    <row r="166" spans="1:32" x14ac:dyDescent="0.35">
      <c r="A166" t="s">
        <v>39</v>
      </c>
      <c r="B166">
        <v>770409</v>
      </c>
      <c r="C166" t="s">
        <v>41</v>
      </c>
      <c r="D166" t="s">
        <v>1870</v>
      </c>
      <c r="E166" t="s">
        <v>1871</v>
      </c>
      <c r="F166">
        <v>0.1</v>
      </c>
      <c r="G166">
        <v>0</v>
      </c>
      <c r="H166">
        <v>0</v>
      </c>
      <c r="I166">
        <v>0</v>
      </c>
      <c r="J166">
        <v>0</v>
      </c>
      <c r="K166">
        <v>-0.1</v>
      </c>
      <c r="L166">
        <v>-1</v>
      </c>
      <c r="M166">
        <v>100</v>
      </c>
      <c r="N166">
        <v>12.19</v>
      </c>
      <c r="O166">
        <v>0</v>
      </c>
      <c r="P166">
        <v>0</v>
      </c>
      <c r="Q166">
        <v>0</v>
      </c>
      <c r="R166">
        <v>0</v>
      </c>
      <c r="S166">
        <v>-12.19</v>
      </c>
      <c r="T166">
        <v>-1</v>
      </c>
      <c r="U166">
        <v>100</v>
      </c>
      <c r="V166">
        <v>0.44</v>
      </c>
      <c r="W166">
        <v>0</v>
      </c>
      <c r="X166">
        <v>0</v>
      </c>
      <c r="Y166">
        <v>0</v>
      </c>
      <c r="Z166">
        <v>0</v>
      </c>
      <c r="AA166">
        <v>-0.44</v>
      </c>
      <c r="AB166">
        <v>-1</v>
      </c>
      <c r="AC166">
        <v>100</v>
      </c>
      <c r="AD166" t="s">
        <v>2322</v>
      </c>
      <c r="AE166" t="s">
        <v>2322</v>
      </c>
      <c r="AF166" t="s">
        <v>2322</v>
      </c>
    </row>
    <row r="167" spans="1:32" x14ac:dyDescent="0.35">
      <c r="A167" t="s">
        <v>39</v>
      </c>
      <c r="B167">
        <v>833858</v>
      </c>
      <c r="C167" t="s">
        <v>41</v>
      </c>
      <c r="D167" t="s">
        <v>1877</v>
      </c>
      <c r="E167" t="s">
        <v>1877</v>
      </c>
      <c r="F167">
        <v>0</v>
      </c>
      <c r="G167">
        <v>25</v>
      </c>
      <c r="H167">
        <v>30</v>
      </c>
      <c r="I167">
        <v>56.98</v>
      </c>
      <c r="J167">
        <v>111.98</v>
      </c>
      <c r="K167">
        <v>111.98</v>
      </c>
      <c r="N167">
        <v>0</v>
      </c>
      <c r="V167">
        <v>0</v>
      </c>
      <c r="W167">
        <v>93.33</v>
      </c>
      <c r="X167">
        <v>112</v>
      </c>
      <c r="Y167">
        <v>212.72</v>
      </c>
      <c r="Z167">
        <v>418.05</v>
      </c>
      <c r="AA167">
        <v>418.05</v>
      </c>
      <c r="AD167" t="s">
        <v>2321</v>
      </c>
      <c r="AE167" t="s">
        <v>2321</v>
      </c>
      <c r="AF167" t="s">
        <v>2321</v>
      </c>
    </row>
    <row r="168" spans="1:32" x14ac:dyDescent="0.35">
      <c r="A168" t="s">
        <v>39</v>
      </c>
      <c r="B168">
        <v>841996</v>
      </c>
      <c r="C168" t="s">
        <v>41</v>
      </c>
      <c r="D168" t="s">
        <v>1888</v>
      </c>
      <c r="E168" t="s">
        <v>1877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D168" t="s">
        <v>2321</v>
      </c>
      <c r="AE168" t="s">
        <v>2321</v>
      </c>
      <c r="AF168" t="s">
        <v>2321</v>
      </c>
    </row>
    <row r="169" spans="1:32" x14ac:dyDescent="0.35">
      <c r="A169" t="s">
        <v>39</v>
      </c>
      <c r="B169">
        <v>782777</v>
      </c>
      <c r="C169" t="s">
        <v>41</v>
      </c>
      <c r="D169" t="s">
        <v>1892</v>
      </c>
      <c r="E169" t="s">
        <v>1892</v>
      </c>
      <c r="F169">
        <v>5</v>
      </c>
      <c r="G169">
        <v>10.5</v>
      </c>
      <c r="H169">
        <v>8.67</v>
      </c>
      <c r="I169">
        <v>7.67</v>
      </c>
      <c r="J169">
        <v>26.84</v>
      </c>
      <c r="K169">
        <v>21.84</v>
      </c>
      <c r="L169">
        <v>4.3680000000000003</v>
      </c>
      <c r="M169">
        <v>436.8</v>
      </c>
      <c r="N169">
        <v>491.3</v>
      </c>
      <c r="P169">
        <v>851.91</v>
      </c>
      <c r="Q169">
        <v>753.65</v>
      </c>
      <c r="V169">
        <v>17.57</v>
      </c>
      <c r="W169">
        <v>36.89</v>
      </c>
      <c r="X169">
        <v>30.46</v>
      </c>
      <c r="Y169">
        <v>26.95</v>
      </c>
      <c r="Z169">
        <v>94.3</v>
      </c>
      <c r="AA169">
        <v>76.72999999999999</v>
      </c>
      <c r="AB169">
        <v>4.367103016505407</v>
      </c>
      <c r="AC169">
        <v>436.71030165054071</v>
      </c>
      <c r="AD169" t="s">
        <v>2322</v>
      </c>
      <c r="AE169" t="s">
        <v>2321</v>
      </c>
      <c r="AF169" t="s">
        <v>2322</v>
      </c>
    </row>
    <row r="170" spans="1:32" x14ac:dyDescent="0.35">
      <c r="A170" t="s">
        <v>39</v>
      </c>
      <c r="B170">
        <v>798100</v>
      </c>
      <c r="C170" t="s">
        <v>41</v>
      </c>
      <c r="D170" t="s">
        <v>1906</v>
      </c>
      <c r="E170" t="s">
        <v>1907</v>
      </c>
      <c r="F170">
        <v>33.6</v>
      </c>
      <c r="G170">
        <v>8.4</v>
      </c>
      <c r="H170">
        <v>21.9</v>
      </c>
      <c r="I170">
        <v>26.4</v>
      </c>
      <c r="J170">
        <v>56.7</v>
      </c>
      <c r="K170">
        <v>23.099999999999991</v>
      </c>
      <c r="L170">
        <v>0.68749999999999978</v>
      </c>
      <c r="M170">
        <v>68.749999999999972</v>
      </c>
      <c r="N170">
        <v>116.93</v>
      </c>
      <c r="O170">
        <v>29.23</v>
      </c>
      <c r="P170">
        <v>76.209999999999994</v>
      </c>
      <c r="Q170">
        <v>91.87</v>
      </c>
      <c r="R170">
        <v>197.31</v>
      </c>
      <c r="S170">
        <v>80.38</v>
      </c>
      <c r="T170">
        <v>0.6874198238262208</v>
      </c>
      <c r="U170">
        <v>68.741982382622083</v>
      </c>
      <c r="V170">
        <v>4.26</v>
      </c>
      <c r="W170">
        <v>1.06</v>
      </c>
      <c r="X170">
        <v>2.77</v>
      </c>
      <c r="Y170">
        <v>3.34</v>
      </c>
      <c r="Z170">
        <v>7.17</v>
      </c>
      <c r="AA170">
        <v>2.91</v>
      </c>
      <c r="AB170">
        <v>0.68309859154929575</v>
      </c>
      <c r="AC170">
        <v>68.309859154929569</v>
      </c>
      <c r="AD170" t="s">
        <v>2322</v>
      </c>
      <c r="AE170" t="s">
        <v>2322</v>
      </c>
      <c r="AF170" t="s">
        <v>2322</v>
      </c>
    </row>
    <row r="171" spans="1:32" x14ac:dyDescent="0.35">
      <c r="A171" t="s">
        <v>39</v>
      </c>
      <c r="B171">
        <v>838877</v>
      </c>
      <c r="C171" t="s">
        <v>41</v>
      </c>
      <c r="D171" t="s">
        <v>1924</v>
      </c>
      <c r="E171" t="s">
        <v>1925</v>
      </c>
      <c r="F171">
        <v>9.6</v>
      </c>
      <c r="G171">
        <v>6.11</v>
      </c>
      <c r="H171">
        <v>3.69</v>
      </c>
      <c r="I171">
        <v>1.69</v>
      </c>
      <c r="J171">
        <v>11.49</v>
      </c>
      <c r="K171">
        <v>1.890000000000001</v>
      </c>
      <c r="L171">
        <v>0.19687500000000011</v>
      </c>
      <c r="M171">
        <v>19.687500000000011</v>
      </c>
      <c r="N171">
        <v>88.9</v>
      </c>
      <c r="O171">
        <v>56.59</v>
      </c>
      <c r="P171">
        <v>34.17</v>
      </c>
      <c r="Q171">
        <v>15.65</v>
      </c>
      <c r="R171">
        <v>106.41</v>
      </c>
      <c r="S171">
        <v>17.510000000000009</v>
      </c>
      <c r="T171">
        <v>0.19696287964004511</v>
      </c>
      <c r="U171">
        <v>19.696287964004512</v>
      </c>
      <c r="V171">
        <v>3.2</v>
      </c>
      <c r="W171">
        <v>2.04</v>
      </c>
      <c r="X171">
        <v>1.23</v>
      </c>
      <c r="Y171">
        <v>0.56000000000000005</v>
      </c>
      <c r="Z171">
        <v>3.83</v>
      </c>
      <c r="AA171">
        <v>0.62999999999999989</v>
      </c>
      <c r="AB171">
        <v>0.19687499999999991</v>
      </c>
      <c r="AC171">
        <v>19.687499999999989</v>
      </c>
      <c r="AD171" t="s">
        <v>2322</v>
      </c>
      <c r="AE171" t="s">
        <v>2322</v>
      </c>
      <c r="AF171" t="s">
        <v>2322</v>
      </c>
    </row>
    <row r="172" spans="1:32" x14ac:dyDescent="0.35">
      <c r="A172" t="s">
        <v>39</v>
      </c>
      <c r="B172">
        <v>817403</v>
      </c>
      <c r="C172" t="s">
        <v>41</v>
      </c>
      <c r="D172" t="s">
        <v>1937</v>
      </c>
      <c r="E172" t="s">
        <v>1925</v>
      </c>
      <c r="F172">
        <v>69</v>
      </c>
      <c r="G172">
        <v>54</v>
      </c>
      <c r="H172">
        <v>42</v>
      </c>
      <c r="I172">
        <v>12</v>
      </c>
      <c r="J172">
        <v>108</v>
      </c>
      <c r="K172">
        <v>39</v>
      </c>
      <c r="L172">
        <v>0.56521739130434789</v>
      </c>
      <c r="M172">
        <v>56.521739130434788</v>
      </c>
      <c r="N172">
        <v>845.94</v>
      </c>
      <c r="O172">
        <v>662.04</v>
      </c>
      <c r="P172">
        <v>514.91999999999996</v>
      </c>
      <c r="Q172">
        <v>147.12</v>
      </c>
      <c r="R172">
        <v>1324.08</v>
      </c>
      <c r="S172">
        <v>478.13999999999987</v>
      </c>
      <c r="T172">
        <v>0.56521739130434767</v>
      </c>
      <c r="U172">
        <v>56.521739130434767</v>
      </c>
      <c r="V172">
        <v>30.36</v>
      </c>
      <c r="W172">
        <v>23.76</v>
      </c>
      <c r="X172">
        <v>18.48</v>
      </c>
      <c r="Y172">
        <v>5.28</v>
      </c>
      <c r="Z172">
        <v>47.52</v>
      </c>
      <c r="AA172">
        <v>17.16</v>
      </c>
      <c r="AB172">
        <v>0.56521739130434789</v>
      </c>
      <c r="AC172">
        <v>56.521739130434788</v>
      </c>
      <c r="AD172" t="s">
        <v>2322</v>
      </c>
      <c r="AE172" t="s">
        <v>2322</v>
      </c>
      <c r="AF172" t="s">
        <v>2322</v>
      </c>
    </row>
    <row r="173" spans="1:32" x14ac:dyDescent="0.35">
      <c r="A173" t="s">
        <v>39</v>
      </c>
      <c r="B173">
        <v>770412</v>
      </c>
      <c r="C173" t="s">
        <v>41</v>
      </c>
      <c r="D173" t="s">
        <v>1952</v>
      </c>
      <c r="E173" t="s">
        <v>1953</v>
      </c>
      <c r="F173">
        <v>0</v>
      </c>
      <c r="G173">
        <v>11.92</v>
      </c>
      <c r="H173">
        <v>11.85</v>
      </c>
      <c r="I173">
        <v>11.85</v>
      </c>
      <c r="J173">
        <v>35.619999999999997</v>
      </c>
      <c r="K173">
        <v>35.619999999999997</v>
      </c>
      <c r="N173">
        <v>0</v>
      </c>
      <c r="O173">
        <v>747.63</v>
      </c>
      <c r="P173">
        <v>743.73</v>
      </c>
      <c r="Q173">
        <v>743.73</v>
      </c>
      <c r="R173">
        <v>2235.09</v>
      </c>
      <c r="S173">
        <v>2235.09</v>
      </c>
      <c r="V173">
        <v>0</v>
      </c>
      <c r="W173">
        <v>26.77</v>
      </c>
      <c r="X173">
        <v>26.63</v>
      </c>
      <c r="Y173">
        <v>26.63</v>
      </c>
      <c r="Z173">
        <v>80.03</v>
      </c>
      <c r="AA173">
        <v>80.03</v>
      </c>
      <c r="AD173" t="s">
        <v>2321</v>
      </c>
      <c r="AE173" t="s">
        <v>2321</v>
      </c>
      <c r="AF173" t="s">
        <v>2321</v>
      </c>
    </row>
    <row r="174" spans="1:32" x14ac:dyDescent="0.35">
      <c r="A174" t="s">
        <v>39</v>
      </c>
      <c r="B174">
        <v>770413</v>
      </c>
      <c r="C174" t="s">
        <v>41</v>
      </c>
      <c r="D174" t="s">
        <v>1963</v>
      </c>
      <c r="E174" t="s">
        <v>1953</v>
      </c>
      <c r="F174">
        <v>11</v>
      </c>
      <c r="G174">
        <v>0</v>
      </c>
      <c r="H174">
        <v>1.28</v>
      </c>
      <c r="I174">
        <v>1.28</v>
      </c>
      <c r="J174">
        <v>2.56</v>
      </c>
      <c r="K174">
        <v>-8.44</v>
      </c>
      <c r="L174">
        <v>-0.76727272727272733</v>
      </c>
      <c r="M174">
        <v>76.727272727272734</v>
      </c>
      <c r="N174">
        <v>690.51</v>
      </c>
      <c r="O174">
        <v>0</v>
      </c>
      <c r="P174">
        <v>80.349999999999994</v>
      </c>
      <c r="Q174">
        <v>80.349999999999994</v>
      </c>
      <c r="R174">
        <v>160.69999999999999</v>
      </c>
      <c r="S174">
        <v>-529.80999999999995</v>
      </c>
      <c r="T174">
        <v>-0.76727346454070178</v>
      </c>
      <c r="U174">
        <v>76.727346454070172</v>
      </c>
      <c r="V174">
        <v>24.71</v>
      </c>
      <c r="W174">
        <v>0</v>
      </c>
      <c r="X174">
        <v>2.88</v>
      </c>
      <c r="Y174">
        <v>2.88</v>
      </c>
      <c r="Z174">
        <v>5.76</v>
      </c>
      <c r="AA174">
        <v>-18.95</v>
      </c>
      <c r="AB174">
        <v>-0.76689599352488869</v>
      </c>
      <c r="AC174">
        <v>76.689599352488869</v>
      </c>
      <c r="AD174" t="s">
        <v>2322</v>
      </c>
      <c r="AE174" t="s">
        <v>2322</v>
      </c>
      <c r="AF174" t="s">
        <v>2322</v>
      </c>
    </row>
    <row r="175" spans="1:32" x14ac:dyDescent="0.35">
      <c r="A175" t="s">
        <v>39</v>
      </c>
      <c r="B175">
        <v>770410</v>
      </c>
      <c r="C175" t="s">
        <v>41</v>
      </c>
      <c r="D175" t="s">
        <v>1972</v>
      </c>
      <c r="E175" t="s">
        <v>1973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D175" t="s">
        <v>2321</v>
      </c>
      <c r="AE175" t="s">
        <v>2321</v>
      </c>
      <c r="AF175" t="s">
        <v>2321</v>
      </c>
    </row>
    <row r="176" spans="1:32" x14ac:dyDescent="0.35">
      <c r="A176" t="s">
        <v>39</v>
      </c>
      <c r="B176">
        <v>789181</v>
      </c>
      <c r="C176" t="s">
        <v>41</v>
      </c>
      <c r="D176" t="s">
        <v>1975</v>
      </c>
      <c r="E176" t="s">
        <v>1976</v>
      </c>
      <c r="F176">
        <v>3</v>
      </c>
      <c r="G176">
        <v>3</v>
      </c>
      <c r="H176">
        <v>3</v>
      </c>
      <c r="I176">
        <v>3</v>
      </c>
      <c r="J176">
        <v>9</v>
      </c>
      <c r="K176">
        <v>6</v>
      </c>
      <c r="L176">
        <v>2</v>
      </c>
      <c r="M176">
        <v>200</v>
      </c>
      <c r="V176">
        <v>76.98</v>
      </c>
      <c r="W176">
        <v>76.98</v>
      </c>
      <c r="X176">
        <v>76.98</v>
      </c>
      <c r="Y176">
        <v>76.98</v>
      </c>
      <c r="Z176">
        <v>230.94</v>
      </c>
      <c r="AA176">
        <v>153.96</v>
      </c>
      <c r="AB176">
        <v>2</v>
      </c>
      <c r="AC176">
        <v>200</v>
      </c>
      <c r="AD176" t="s">
        <v>2322</v>
      </c>
      <c r="AE176" t="s">
        <v>2321</v>
      </c>
      <c r="AF176" t="s">
        <v>2322</v>
      </c>
    </row>
    <row r="177" spans="1:32" x14ac:dyDescent="0.35">
      <c r="A177" t="s">
        <v>39</v>
      </c>
      <c r="B177">
        <v>896095</v>
      </c>
      <c r="C177" t="s">
        <v>41</v>
      </c>
      <c r="D177" t="s">
        <v>1984</v>
      </c>
      <c r="E177" t="s">
        <v>1985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N177">
        <v>40</v>
      </c>
      <c r="O177">
        <v>0</v>
      </c>
      <c r="P177">
        <v>0</v>
      </c>
      <c r="Q177">
        <v>0</v>
      </c>
      <c r="R177">
        <v>0</v>
      </c>
      <c r="S177">
        <v>-40</v>
      </c>
      <c r="T177">
        <v>-1</v>
      </c>
      <c r="U177">
        <v>100</v>
      </c>
      <c r="V177">
        <v>1.43</v>
      </c>
      <c r="W177">
        <v>0</v>
      </c>
      <c r="X177">
        <v>0</v>
      </c>
      <c r="Y177">
        <v>0</v>
      </c>
      <c r="Z177">
        <v>0</v>
      </c>
      <c r="AA177">
        <v>-1.43</v>
      </c>
      <c r="AB177">
        <v>-1</v>
      </c>
      <c r="AC177">
        <v>100</v>
      </c>
      <c r="AD177" t="s">
        <v>2321</v>
      </c>
      <c r="AE177" t="s">
        <v>2322</v>
      </c>
      <c r="AF177" t="s">
        <v>2322</v>
      </c>
    </row>
    <row r="178" spans="1:32" x14ac:dyDescent="0.35">
      <c r="A178" t="s">
        <v>39</v>
      </c>
      <c r="B178">
        <v>761734</v>
      </c>
      <c r="C178" t="s">
        <v>41</v>
      </c>
      <c r="D178" t="s">
        <v>1989</v>
      </c>
      <c r="E178" t="s">
        <v>1925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D178" t="s">
        <v>2321</v>
      </c>
      <c r="AE178" t="s">
        <v>2321</v>
      </c>
      <c r="AF178" t="s">
        <v>2321</v>
      </c>
    </row>
    <row r="179" spans="1:32" x14ac:dyDescent="0.35">
      <c r="A179" t="s">
        <v>39</v>
      </c>
      <c r="B179">
        <v>757147</v>
      </c>
      <c r="C179" t="s">
        <v>41</v>
      </c>
      <c r="D179" t="s">
        <v>1994</v>
      </c>
      <c r="E179" t="s">
        <v>1995</v>
      </c>
      <c r="F179">
        <v>0.5</v>
      </c>
      <c r="G179">
        <v>0</v>
      </c>
      <c r="H179">
        <v>0</v>
      </c>
      <c r="I179">
        <v>0</v>
      </c>
      <c r="J179">
        <v>0</v>
      </c>
      <c r="K179">
        <v>-0.5</v>
      </c>
      <c r="L179">
        <v>-1</v>
      </c>
      <c r="M179">
        <v>100</v>
      </c>
      <c r="N179">
        <v>46.96</v>
      </c>
      <c r="O179">
        <v>0</v>
      </c>
      <c r="P179">
        <v>0</v>
      </c>
      <c r="Q179">
        <v>0</v>
      </c>
      <c r="R179">
        <v>0</v>
      </c>
      <c r="S179">
        <v>-46.96</v>
      </c>
      <c r="T179">
        <v>-1</v>
      </c>
      <c r="U179">
        <v>100</v>
      </c>
      <c r="V179">
        <v>1.68</v>
      </c>
      <c r="W179">
        <v>0</v>
      </c>
      <c r="X179">
        <v>0</v>
      </c>
      <c r="Y179">
        <v>0</v>
      </c>
      <c r="Z179">
        <v>0</v>
      </c>
      <c r="AA179">
        <v>-1.68</v>
      </c>
      <c r="AB179">
        <v>-1</v>
      </c>
      <c r="AC179">
        <v>100</v>
      </c>
      <c r="AD179" t="s">
        <v>2322</v>
      </c>
      <c r="AE179" t="s">
        <v>2322</v>
      </c>
      <c r="AF179" t="s">
        <v>2322</v>
      </c>
    </row>
    <row r="180" spans="1:32" x14ac:dyDescent="0.35">
      <c r="A180" t="s">
        <v>39</v>
      </c>
      <c r="B180">
        <v>730736</v>
      </c>
      <c r="C180" t="s">
        <v>41</v>
      </c>
      <c r="D180" t="s">
        <v>1999</v>
      </c>
      <c r="E180" t="s">
        <v>2000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D180" t="s">
        <v>2321</v>
      </c>
      <c r="AE180" t="s">
        <v>2321</v>
      </c>
      <c r="AF180" t="s">
        <v>2321</v>
      </c>
    </row>
    <row r="181" spans="1:32" x14ac:dyDescent="0.35">
      <c r="A181" t="s">
        <v>39</v>
      </c>
      <c r="B181">
        <v>935941</v>
      </c>
      <c r="C181" t="s">
        <v>72</v>
      </c>
      <c r="D181" t="s">
        <v>2004</v>
      </c>
      <c r="E181" t="s">
        <v>74</v>
      </c>
      <c r="F181">
        <v>17.2</v>
      </c>
      <c r="G181">
        <v>17.28</v>
      </c>
      <c r="H181">
        <v>0</v>
      </c>
      <c r="I181">
        <v>17.28</v>
      </c>
      <c r="J181">
        <v>34.56</v>
      </c>
      <c r="K181">
        <v>17.36</v>
      </c>
      <c r="L181">
        <v>1.009302325581396</v>
      </c>
      <c r="M181">
        <v>100.93023255813959</v>
      </c>
      <c r="N181">
        <v>2.66</v>
      </c>
      <c r="O181">
        <v>2.67</v>
      </c>
      <c r="P181">
        <v>0</v>
      </c>
      <c r="Q181">
        <v>2.67</v>
      </c>
      <c r="R181">
        <v>5.34</v>
      </c>
      <c r="S181">
        <v>2.68</v>
      </c>
      <c r="T181">
        <v>1.007518796992481</v>
      </c>
      <c r="U181">
        <v>100.75187969924809</v>
      </c>
      <c r="V181">
        <v>0.18</v>
      </c>
      <c r="W181">
        <v>0.18</v>
      </c>
      <c r="X181">
        <v>0</v>
      </c>
      <c r="Y181">
        <v>0.18</v>
      </c>
      <c r="Z181">
        <v>0.36</v>
      </c>
      <c r="AA181">
        <v>0.18</v>
      </c>
      <c r="AB181">
        <v>1</v>
      </c>
      <c r="AC181">
        <v>100</v>
      </c>
      <c r="AD181" t="s">
        <v>2322</v>
      </c>
      <c r="AE181" t="s">
        <v>2322</v>
      </c>
      <c r="AF181" t="s">
        <v>2322</v>
      </c>
    </row>
    <row r="182" spans="1:32" x14ac:dyDescent="0.35">
      <c r="A182" t="s">
        <v>39</v>
      </c>
      <c r="B182">
        <v>940228</v>
      </c>
      <c r="C182" t="s">
        <v>41</v>
      </c>
      <c r="D182" t="s">
        <v>2011</v>
      </c>
      <c r="E182" t="s">
        <v>74</v>
      </c>
      <c r="F182">
        <v>0.37</v>
      </c>
      <c r="G182">
        <v>0.37</v>
      </c>
      <c r="H182">
        <v>0.72</v>
      </c>
      <c r="I182">
        <v>0.36</v>
      </c>
      <c r="J182">
        <v>1.45</v>
      </c>
      <c r="K182">
        <v>1.08</v>
      </c>
      <c r="L182">
        <v>2.918918918918918</v>
      </c>
      <c r="M182">
        <v>291.89189189189182</v>
      </c>
      <c r="N182">
        <v>38.03</v>
      </c>
      <c r="O182">
        <v>38.03</v>
      </c>
      <c r="P182">
        <v>74</v>
      </c>
      <c r="Q182">
        <v>37</v>
      </c>
      <c r="R182">
        <v>149.03</v>
      </c>
      <c r="S182">
        <v>111</v>
      </c>
      <c r="T182">
        <v>2.9187483565606098</v>
      </c>
      <c r="U182">
        <v>291.87483565606101</v>
      </c>
      <c r="V182">
        <v>1.36</v>
      </c>
      <c r="W182">
        <v>1.36</v>
      </c>
      <c r="X182">
        <v>2.64</v>
      </c>
      <c r="Y182">
        <v>1.32</v>
      </c>
      <c r="Z182">
        <v>5.32</v>
      </c>
      <c r="AA182">
        <v>3.96</v>
      </c>
      <c r="AB182">
        <v>2.9117647058823528</v>
      </c>
      <c r="AC182">
        <v>291.1764705882353</v>
      </c>
      <c r="AD182" t="s">
        <v>2322</v>
      </c>
      <c r="AE182" t="s">
        <v>2322</v>
      </c>
      <c r="AF182" t="s">
        <v>2322</v>
      </c>
    </row>
    <row r="183" spans="1:32" x14ac:dyDescent="0.35">
      <c r="A183" t="s">
        <v>39</v>
      </c>
      <c r="B183">
        <v>499182</v>
      </c>
      <c r="C183" t="s">
        <v>72</v>
      </c>
      <c r="D183" t="s">
        <v>2017</v>
      </c>
      <c r="E183" t="s">
        <v>2018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D183" t="s">
        <v>2321</v>
      </c>
      <c r="AE183" t="s">
        <v>2321</v>
      </c>
      <c r="AF183" t="s">
        <v>2321</v>
      </c>
    </row>
    <row r="184" spans="1:32" x14ac:dyDescent="0.35">
      <c r="A184" t="s">
        <v>39</v>
      </c>
      <c r="B184">
        <v>822914</v>
      </c>
      <c r="C184" t="s">
        <v>41</v>
      </c>
      <c r="D184" t="s">
        <v>2023</v>
      </c>
      <c r="E184" t="s">
        <v>2023</v>
      </c>
      <c r="F184">
        <v>0</v>
      </c>
      <c r="G184">
        <v>0.5</v>
      </c>
      <c r="H184">
        <v>1.82</v>
      </c>
      <c r="I184">
        <v>1.82</v>
      </c>
      <c r="J184">
        <v>4.1400000000000006</v>
      </c>
      <c r="K184">
        <v>4.1400000000000006</v>
      </c>
      <c r="N184">
        <v>0</v>
      </c>
      <c r="O184">
        <v>12.91</v>
      </c>
      <c r="P184">
        <v>47.35</v>
      </c>
      <c r="Q184">
        <v>47.35</v>
      </c>
      <c r="R184">
        <v>107.61</v>
      </c>
      <c r="S184">
        <v>107.61</v>
      </c>
      <c r="V184">
        <v>0</v>
      </c>
      <c r="W184">
        <v>0.46</v>
      </c>
      <c r="X184">
        <v>1.69</v>
      </c>
      <c r="Y184">
        <v>1.69</v>
      </c>
      <c r="Z184">
        <v>3.84</v>
      </c>
      <c r="AA184">
        <v>3.84</v>
      </c>
      <c r="AD184" t="s">
        <v>2321</v>
      </c>
      <c r="AE184" t="s">
        <v>2321</v>
      </c>
      <c r="AF184" t="s">
        <v>2321</v>
      </c>
    </row>
    <row r="185" spans="1:32" x14ac:dyDescent="0.35">
      <c r="A185" t="s">
        <v>39</v>
      </c>
      <c r="B185">
        <v>822253</v>
      </c>
      <c r="C185" t="s">
        <v>41</v>
      </c>
      <c r="D185" t="s">
        <v>2023</v>
      </c>
      <c r="E185" t="s">
        <v>2023</v>
      </c>
      <c r="F185">
        <v>0.18</v>
      </c>
      <c r="G185">
        <v>0</v>
      </c>
      <c r="H185">
        <v>0</v>
      </c>
      <c r="I185">
        <v>0</v>
      </c>
      <c r="J185">
        <v>0</v>
      </c>
      <c r="K185">
        <v>-0.18</v>
      </c>
      <c r="L185">
        <v>-1</v>
      </c>
      <c r="M185">
        <v>100</v>
      </c>
      <c r="N185">
        <v>3.04</v>
      </c>
      <c r="O185">
        <v>0</v>
      </c>
      <c r="P185">
        <v>0</v>
      </c>
      <c r="Q185">
        <v>0</v>
      </c>
      <c r="R185">
        <v>0</v>
      </c>
      <c r="S185">
        <v>-3.04</v>
      </c>
      <c r="T185">
        <v>-1</v>
      </c>
      <c r="U185">
        <v>100</v>
      </c>
      <c r="V185">
        <v>0.11</v>
      </c>
      <c r="W185">
        <v>0</v>
      </c>
      <c r="X185">
        <v>0</v>
      </c>
      <c r="Y185">
        <v>0</v>
      </c>
      <c r="Z185">
        <v>0</v>
      </c>
      <c r="AA185">
        <v>-0.11</v>
      </c>
      <c r="AB185">
        <v>-1</v>
      </c>
      <c r="AC185">
        <v>100</v>
      </c>
      <c r="AD185" t="s">
        <v>2322</v>
      </c>
      <c r="AE185" t="s">
        <v>2322</v>
      </c>
      <c r="AF185" t="s">
        <v>2322</v>
      </c>
    </row>
    <row r="186" spans="1:32" x14ac:dyDescent="0.35">
      <c r="A186" t="s">
        <v>39</v>
      </c>
      <c r="B186">
        <v>902632</v>
      </c>
      <c r="C186" t="s">
        <v>41</v>
      </c>
      <c r="D186" t="s">
        <v>2033</v>
      </c>
      <c r="E186" t="s">
        <v>1776</v>
      </c>
      <c r="F186">
        <v>0</v>
      </c>
      <c r="G186">
        <v>0.4</v>
      </c>
      <c r="H186">
        <v>0.12</v>
      </c>
      <c r="I186">
        <v>0.12</v>
      </c>
      <c r="J186">
        <v>0.64</v>
      </c>
      <c r="K186">
        <v>0.64</v>
      </c>
      <c r="N186">
        <v>0</v>
      </c>
      <c r="P186">
        <v>789.81</v>
      </c>
      <c r="Q186">
        <v>789.81</v>
      </c>
      <c r="V186">
        <v>0</v>
      </c>
      <c r="W186">
        <v>94.18</v>
      </c>
      <c r="X186">
        <v>28.25</v>
      </c>
      <c r="Y186">
        <v>28.25</v>
      </c>
      <c r="Z186">
        <v>150.68</v>
      </c>
      <c r="AA186">
        <v>150.68</v>
      </c>
      <c r="AD186" t="s">
        <v>2321</v>
      </c>
      <c r="AE186" t="s">
        <v>2321</v>
      </c>
      <c r="AF186" t="s">
        <v>2321</v>
      </c>
    </row>
    <row r="187" spans="1:32" x14ac:dyDescent="0.35">
      <c r="A187" t="s">
        <v>39</v>
      </c>
      <c r="B187">
        <v>910115</v>
      </c>
      <c r="C187" t="s">
        <v>41</v>
      </c>
      <c r="D187" t="s">
        <v>2042</v>
      </c>
      <c r="E187" t="s">
        <v>2042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D187" t="s">
        <v>2321</v>
      </c>
      <c r="AE187" t="s">
        <v>2321</v>
      </c>
      <c r="AF187" t="s">
        <v>2321</v>
      </c>
    </row>
    <row r="188" spans="1:32" x14ac:dyDescent="0.35">
      <c r="A188" t="s">
        <v>39</v>
      </c>
      <c r="B188">
        <v>944812</v>
      </c>
      <c r="C188" t="s">
        <v>72</v>
      </c>
      <c r="D188" t="s">
        <v>2047</v>
      </c>
      <c r="E188" t="s">
        <v>692</v>
      </c>
      <c r="F188">
        <v>0</v>
      </c>
      <c r="G188">
        <v>8.1</v>
      </c>
      <c r="H188">
        <v>8.1</v>
      </c>
      <c r="I188">
        <v>8.1</v>
      </c>
      <c r="J188">
        <v>24.3</v>
      </c>
      <c r="K188">
        <v>24.3</v>
      </c>
      <c r="N188">
        <v>0</v>
      </c>
      <c r="O188">
        <v>3.15</v>
      </c>
      <c r="P188">
        <v>3.15</v>
      </c>
      <c r="Q188">
        <v>3.15</v>
      </c>
      <c r="R188">
        <v>9.4499999999999993</v>
      </c>
      <c r="S188">
        <v>9.4499999999999993</v>
      </c>
      <c r="V188">
        <v>0</v>
      </c>
      <c r="W188">
        <v>0.24</v>
      </c>
      <c r="X188">
        <v>0.24</v>
      </c>
      <c r="Y188">
        <v>0.24</v>
      </c>
      <c r="Z188">
        <v>0.72</v>
      </c>
      <c r="AA188">
        <v>0.72</v>
      </c>
      <c r="AD188" t="s">
        <v>2321</v>
      </c>
      <c r="AE188" t="s">
        <v>2321</v>
      </c>
      <c r="AF188" t="s">
        <v>2321</v>
      </c>
    </row>
    <row r="189" spans="1:32" x14ac:dyDescent="0.35">
      <c r="A189" t="s">
        <v>39</v>
      </c>
      <c r="B189">
        <v>944813</v>
      </c>
      <c r="C189" t="s">
        <v>72</v>
      </c>
      <c r="D189" t="s">
        <v>2054</v>
      </c>
      <c r="E189" t="s">
        <v>692</v>
      </c>
      <c r="F189">
        <v>0</v>
      </c>
      <c r="G189">
        <v>11.68</v>
      </c>
      <c r="H189">
        <v>13.51</v>
      </c>
      <c r="I189">
        <v>13.51</v>
      </c>
      <c r="J189">
        <v>38.700000000000003</v>
      </c>
      <c r="K189">
        <v>38.700000000000003</v>
      </c>
      <c r="N189">
        <v>0</v>
      </c>
      <c r="O189">
        <v>15.14</v>
      </c>
      <c r="P189">
        <v>17.510000000000002</v>
      </c>
      <c r="Q189">
        <v>17.510000000000002</v>
      </c>
      <c r="R189">
        <v>50.160000000000011</v>
      </c>
      <c r="S189">
        <v>50.160000000000011</v>
      </c>
      <c r="V189">
        <v>0</v>
      </c>
      <c r="W189">
        <v>1.47</v>
      </c>
      <c r="X189">
        <v>1.7</v>
      </c>
      <c r="Y189">
        <v>1.7</v>
      </c>
      <c r="Z189">
        <v>4.87</v>
      </c>
      <c r="AA189">
        <v>4.87</v>
      </c>
      <c r="AD189" t="s">
        <v>2321</v>
      </c>
      <c r="AE189" t="s">
        <v>2321</v>
      </c>
      <c r="AF189" t="s">
        <v>2321</v>
      </c>
    </row>
    <row r="190" spans="1:32" x14ac:dyDescent="0.35">
      <c r="A190" t="s">
        <v>39</v>
      </c>
      <c r="B190">
        <v>907345</v>
      </c>
      <c r="C190" t="s">
        <v>72</v>
      </c>
      <c r="D190" t="s">
        <v>2064</v>
      </c>
      <c r="E190" t="s">
        <v>2065</v>
      </c>
      <c r="F190">
        <v>10</v>
      </c>
      <c r="G190">
        <v>19.72</v>
      </c>
      <c r="H190">
        <v>19.72</v>
      </c>
      <c r="I190">
        <v>19.72</v>
      </c>
      <c r="J190">
        <v>59.16</v>
      </c>
      <c r="K190">
        <v>49.16</v>
      </c>
      <c r="L190">
        <v>4.9159999999999986</v>
      </c>
      <c r="M190">
        <v>491.6</v>
      </c>
      <c r="N190">
        <v>37.03</v>
      </c>
      <c r="O190">
        <v>73.010000000000005</v>
      </c>
      <c r="P190">
        <v>73.010000000000005</v>
      </c>
      <c r="Q190">
        <v>73.010000000000005</v>
      </c>
      <c r="R190">
        <v>219.03</v>
      </c>
      <c r="S190">
        <v>182</v>
      </c>
      <c r="T190">
        <v>4.9149338374291123</v>
      </c>
      <c r="U190">
        <v>491.49338374291119</v>
      </c>
      <c r="V190">
        <v>1.29</v>
      </c>
      <c r="W190">
        <v>2.5499999999999998</v>
      </c>
      <c r="X190">
        <v>2.5499999999999998</v>
      </c>
      <c r="Y190">
        <v>2.5499999999999998</v>
      </c>
      <c r="Z190">
        <v>7.6499999999999986</v>
      </c>
      <c r="AA190">
        <v>6.3599999999999994</v>
      </c>
      <c r="AB190">
        <v>4.9302325581395339</v>
      </c>
      <c r="AC190">
        <v>493.02325581395343</v>
      </c>
      <c r="AD190" t="s">
        <v>2322</v>
      </c>
      <c r="AE190" t="s">
        <v>2322</v>
      </c>
      <c r="AF190" t="s">
        <v>2322</v>
      </c>
    </row>
    <row r="191" spans="1:32" x14ac:dyDescent="0.35">
      <c r="A191" t="s">
        <v>39</v>
      </c>
      <c r="B191">
        <v>907348</v>
      </c>
      <c r="C191" t="s">
        <v>72</v>
      </c>
      <c r="D191" t="s">
        <v>2080</v>
      </c>
      <c r="E191" t="s">
        <v>2065</v>
      </c>
      <c r="F191">
        <v>240</v>
      </c>
      <c r="G191">
        <v>199.69</v>
      </c>
      <c r="H191">
        <v>29.69</v>
      </c>
      <c r="I191">
        <v>29.69</v>
      </c>
      <c r="J191">
        <v>259.07</v>
      </c>
      <c r="K191">
        <v>19.06999999999999</v>
      </c>
      <c r="L191">
        <v>7.9458333333333409E-2</v>
      </c>
      <c r="M191">
        <v>7.9458333333333409</v>
      </c>
      <c r="N191">
        <v>888.67</v>
      </c>
      <c r="O191">
        <v>739.42</v>
      </c>
      <c r="P191">
        <v>109.94</v>
      </c>
      <c r="Q191">
        <v>109.94</v>
      </c>
      <c r="R191">
        <v>959.3</v>
      </c>
      <c r="S191">
        <v>70.63</v>
      </c>
      <c r="T191">
        <v>7.9478321536678331E-2</v>
      </c>
      <c r="U191">
        <v>7.9478321536678331</v>
      </c>
      <c r="V191">
        <v>30.99</v>
      </c>
      <c r="W191">
        <v>25.79</v>
      </c>
      <c r="X191">
        <v>3.83</v>
      </c>
      <c r="Y191">
        <v>3.83</v>
      </c>
      <c r="Z191">
        <v>33.450000000000003</v>
      </c>
      <c r="AA191">
        <v>2.4599999999999969</v>
      </c>
      <c r="AB191">
        <v>7.9380445304936931E-2</v>
      </c>
      <c r="AC191">
        <v>7.9380445304936931</v>
      </c>
      <c r="AD191" t="s">
        <v>2325</v>
      </c>
      <c r="AE191" t="s">
        <v>2325</v>
      </c>
      <c r="AF191" t="s">
        <v>2325</v>
      </c>
    </row>
    <row r="192" spans="1:32" x14ac:dyDescent="0.35">
      <c r="A192" t="s">
        <v>39</v>
      </c>
      <c r="B192">
        <v>907351</v>
      </c>
      <c r="C192" t="s">
        <v>72</v>
      </c>
      <c r="D192" t="s">
        <v>2093</v>
      </c>
      <c r="E192" t="s">
        <v>2094</v>
      </c>
      <c r="F192">
        <v>200</v>
      </c>
      <c r="G192">
        <v>233.98</v>
      </c>
      <c r="H192">
        <v>252.56</v>
      </c>
      <c r="I192">
        <v>252.56</v>
      </c>
      <c r="J192">
        <v>739.09999999999991</v>
      </c>
      <c r="K192">
        <v>539.09999999999991</v>
      </c>
      <c r="L192">
        <v>2.6955</v>
      </c>
      <c r="M192">
        <v>269.55</v>
      </c>
      <c r="N192">
        <v>683.73</v>
      </c>
      <c r="O192">
        <v>799.91</v>
      </c>
      <c r="P192">
        <v>863.4</v>
      </c>
      <c r="Q192">
        <v>863.4</v>
      </c>
      <c r="R192">
        <v>2526.71</v>
      </c>
      <c r="S192">
        <v>1842.98</v>
      </c>
      <c r="T192">
        <v>2.6954792096295321</v>
      </c>
      <c r="U192">
        <v>269.54792096295319</v>
      </c>
      <c r="V192">
        <v>23.84</v>
      </c>
      <c r="W192">
        <v>27.89</v>
      </c>
      <c r="X192">
        <v>30.1</v>
      </c>
      <c r="Y192">
        <v>30.1</v>
      </c>
      <c r="Z192">
        <v>88.09</v>
      </c>
      <c r="AA192">
        <v>64.25</v>
      </c>
      <c r="AB192">
        <v>2.6950503355704698</v>
      </c>
      <c r="AC192">
        <v>269.505033557047</v>
      </c>
      <c r="AD192" t="s">
        <v>2322</v>
      </c>
      <c r="AE192" t="s">
        <v>2322</v>
      </c>
      <c r="AF192" t="s">
        <v>2322</v>
      </c>
    </row>
    <row r="193" spans="1:32" x14ac:dyDescent="0.35">
      <c r="A193" t="s">
        <v>39</v>
      </c>
      <c r="B193">
        <v>907352</v>
      </c>
      <c r="C193" t="s">
        <v>72</v>
      </c>
      <c r="D193" t="s">
        <v>2113</v>
      </c>
      <c r="E193" t="s">
        <v>2094</v>
      </c>
      <c r="F193">
        <v>180</v>
      </c>
      <c r="G193">
        <v>140</v>
      </c>
      <c r="H193">
        <v>140</v>
      </c>
      <c r="I193">
        <v>140</v>
      </c>
      <c r="J193">
        <v>420</v>
      </c>
      <c r="K193">
        <v>240</v>
      </c>
      <c r="L193">
        <v>1.333333333333333</v>
      </c>
      <c r="M193">
        <v>133.33333333333329</v>
      </c>
      <c r="N193">
        <v>615.36</v>
      </c>
      <c r="O193">
        <v>478.61</v>
      </c>
      <c r="P193">
        <v>478.61</v>
      </c>
      <c r="Q193">
        <v>478.61</v>
      </c>
      <c r="R193">
        <v>1435.83</v>
      </c>
      <c r="S193">
        <v>820.46999999999991</v>
      </c>
      <c r="T193">
        <v>1.333317082683307</v>
      </c>
      <c r="U193">
        <v>133.33170826833069</v>
      </c>
      <c r="V193">
        <v>21.45</v>
      </c>
      <c r="W193">
        <v>16.690000000000001</v>
      </c>
      <c r="X193">
        <v>16.690000000000001</v>
      </c>
      <c r="Y193">
        <v>16.690000000000001</v>
      </c>
      <c r="Z193">
        <v>50.070000000000007</v>
      </c>
      <c r="AA193">
        <v>28.620000000000012</v>
      </c>
      <c r="AB193">
        <v>1.3342657342657349</v>
      </c>
      <c r="AC193">
        <v>133.4265734265735</v>
      </c>
      <c r="AD193" t="s">
        <v>2322</v>
      </c>
      <c r="AE193" t="s">
        <v>2322</v>
      </c>
      <c r="AF193" t="s">
        <v>2322</v>
      </c>
    </row>
    <row r="194" spans="1:32" x14ac:dyDescent="0.35">
      <c r="A194" t="s">
        <v>39</v>
      </c>
      <c r="B194">
        <v>907353</v>
      </c>
      <c r="C194" t="s">
        <v>72</v>
      </c>
      <c r="D194" t="s">
        <v>2123</v>
      </c>
      <c r="E194" t="s">
        <v>2094</v>
      </c>
      <c r="F194">
        <v>3</v>
      </c>
      <c r="G194">
        <v>0</v>
      </c>
      <c r="H194">
        <v>6</v>
      </c>
      <c r="I194">
        <v>6</v>
      </c>
      <c r="J194">
        <v>12</v>
      </c>
      <c r="K194">
        <v>9</v>
      </c>
      <c r="L194">
        <v>3</v>
      </c>
      <c r="M194">
        <v>300</v>
      </c>
      <c r="N194">
        <v>10.26</v>
      </c>
      <c r="O194">
        <v>0</v>
      </c>
      <c r="P194">
        <v>20.51</v>
      </c>
      <c r="Q194">
        <v>20.51</v>
      </c>
      <c r="R194">
        <v>41.02</v>
      </c>
      <c r="S194">
        <v>30.760000000000009</v>
      </c>
      <c r="T194">
        <v>2.998050682261209</v>
      </c>
      <c r="U194">
        <v>299.80506822612091</v>
      </c>
      <c r="V194">
        <v>0.36</v>
      </c>
      <c r="W194">
        <v>0</v>
      </c>
      <c r="X194">
        <v>0.72</v>
      </c>
      <c r="Y194">
        <v>0.72</v>
      </c>
      <c r="Z194">
        <v>1.44</v>
      </c>
      <c r="AA194">
        <v>1.08</v>
      </c>
      <c r="AB194">
        <v>3</v>
      </c>
      <c r="AC194">
        <v>300</v>
      </c>
      <c r="AD194" t="s">
        <v>2322</v>
      </c>
      <c r="AE194" t="s">
        <v>2322</v>
      </c>
      <c r="AF194" t="s">
        <v>2322</v>
      </c>
    </row>
    <row r="195" spans="1:32" x14ac:dyDescent="0.35">
      <c r="A195" t="s">
        <v>39</v>
      </c>
      <c r="B195">
        <v>907357</v>
      </c>
      <c r="C195" t="s">
        <v>72</v>
      </c>
      <c r="D195" t="s">
        <v>2131</v>
      </c>
      <c r="E195" t="s">
        <v>2094</v>
      </c>
      <c r="F195">
        <v>18.46</v>
      </c>
      <c r="G195">
        <v>15</v>
      </c>
      <c r="H195">
        <v>9.5</v>
      </c>
      <c r="I195">
        <v>9.5</v>
      </c>
      <c r="J195">
        <v>34</v>
      </c>
      <c r="K195">
        <v>15.54</v>
      </c>
      <c r="L195">
        <v>0.84182015167930646</v>
      </c>
      <c r="M195">
        <v>84.182015167930643</v>
      </c>
      <c r="N195">
        <v>63.09</v>
      </c>
      <c r="O195">
        <v>51.28</v>
      </c>
      <c r="P195">
        <v>32.479999999999997</v>
      </c>
      <c r="Q195">
        <v>32.479999999999997</v>
      </c>
      <c r="R195">
        <v>116.24</v>
      </c>
      <c r="S195">
        <v>53.149999999999977</v>
      </c>
      <c r="T195">
        <v>0.84244729751149117</v>
      </c>
      <c r="U195">
        <v>84.244729751149123</v>
      </c>
      <c r="V195">
        <v>2.2000000000000002</v>
      </c>
      <c r="W195">
        <v>1.79</v>
      </c>
      <c r="X195">
        <v>1.1299999999999999</v>
      </c>
      <c r="Y195">
        <v>1.1299999999999999</v>
      </c>
      <c r="Z195">
        <v>4.05</v>
      </c>
      <c r="AA195">
        <v>1.85</v>
      </c>
      <c r="AB195">
        <v>0.84090909090909061</v>
      </c>
      <c r="AC195">
        <v>84.090909090909065</v>
      </c>
      <c r="AD195" t="s">
        <v>2322</v>
      </c>
      <c r="AE195" t="s">
        <v>2322</v>
      </c>
      <c r="AF195" t="s">
        <v>2322</v>
      </c>
    </row>
    <row r="196" spans="1:32" x14ac:dyDescent="0.35">
      <c r="A196" t="s">
        <v>39</v>
      </c>
      <c r="B196">
        <v>944814</v>
      </c>
      <c r="C196" t="s">
        <v>72</v>
      </c>
      <c r="D196" t="s">
        <v>2141</v>
      </c>
      <c r="E196" t="s">
        <v>692</v>
      </c>
      <c r="F196">
        <v>0</v>
      </c>
      <c r="G196">
        <v>58.12</v>
      </c>
      <c r="H196">
        <v>41.58</v>
      </c>
      <c r="I196">
        <v>41.58</v>
      </c>
      <c r="J196">
        <v>141.28</v>
      </c>
      <c r="K196">
        <v>141.28</v>
      </c>
      <c r="N196">
        <v>0</v>
      </c>
      <c r="O196">
        <v>22.6</v>
      </c>
      <c r="P196">
        <v>16.170000000000002</v>
      </c>
      <c r="Q196">
        <v>16.170000000000002</v>
      </c>
      <c r="R196">
        <v>54.94</v>
      </c>
      <c r="S196">
        <v>54.94</v>
      </c>
      <c r="V196">
        <v>0</v>
      </c>
      <c r="W196">
        <v>2.19</v>
      </c>
      <c r="X196">
        <v>1.57</v>
      </c>
      <c r="Y196">
        <v>1.57</v>
      </c>
      <c r="Z196">
        <v>5.33</v>
      </c>
      <c r="AA196">
        <v>5.33</v>
      </c>
      <c r="AD196" t="s">
        <v>2321</v>
      </c>
      <c r="AE196" t="s">
        <v>2321</v>
      </c>
      <c r="AF196" t="s">
        <v>2321</v>
      </c>
    </row>
    <row r="197" spans="1:32" x14ac:dyDescent="0.35">
      <c r="A197" t="s">
        <v>39</v>
      </c>
      <c r="B197">
        <v>885527</v>
      </c>
      <c r="C197" t="s">
        <v>72</v>
      </c>
      <c r="D197" t="s">
        <v>2152</v>
      </c>
      <c r="E197" t="s">
        <v>215</v>
      </c>
      <c r="F197">
        <v>22.6</v>
      </c>
      <c r="G197">
        <v>22.37</v>
      </c>
      <c r="H197">
        <v>44.97</v>
      </c>
      <c r="I197">
        <v>44.97</v>
      </c>
      <c r="J197">
        <v>112.31</v>
      </c>
      <c r="K197">
        <v>89.710000000000008</v>
      </c>
      <c r="L197">
        <v>3.9694690265486732</v>
      </c>
      <c r="M197">
        <v>396.94690265486719</v>
      </c>
      <c r="N197">
        <v>62.53</v>
      </c>
      <c r="O197">
        <v>61.88</v>
      </c>
      <c r="P197">
        <v>124.41</v>
      </c>
      <c r="Q197">
        <v>124.41</v>
      </c>
      <c r="R197">
        <v>310.7</v>
      </c>
      <c r="S197">
        <v>248.17</v>
      </c>
      <c r="T197">
        <v>3.9688149688149692</v>
      </c>
      <c r="U197">
        <v>396.8814968814969</v>
      </c>
      <c r="V197">
        <v>1.51</v>
      </c>
      <c r="W197">
        <v>1.49</v>
      </c>
      <c r="X197">
        <v>3</v>
      </c>
      <c r="Y197">
        <v>3</v>
      </c>
      <c r="Z197">
        <v>7.49</v>
      </c>
      <c r="AA197">
        <v>5.98</v>
      </c>
      <c r="AB197">
        <v>3.9602649006622519</v>
      </c>
      <c r="AC197">
        <v>396.02649006622522</v>
      </c>
      <c r="AD197" t="s">
        <v>2322</v>
      </c>
      <c r="AE197" t="s">
        <v>2322</v>
      </c>
      <c r="AF197" t="s">
        <v>2322</v>
      </c>
    </row>
    <row r="198" spans="1:32" x14ac:dyDescent="0.35">
      <c r="A198" t="s">
        <v>39</v>
      </c>
      <c r="B198">
        <v>919259</v>
      </c>
      <c r="C198" t="s">
        <v>72</v>
      </c>
      <c r="D198" t="s">
        <v>2162</v>
      </c>
      <c r="E198" t="s">
        <v>245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D198" t="s">
        <v>2321</v>
      </c>
      <c r="AE198" t="s">
        <v>2321</v>
      </c>
      <c r="AF198" t="s">
        <v>2321</v>
      </c>
    </row>
    <row r="199" spans="1:32" x14ac:dyDescent="0.35">
      <c r="A199" t="s">
        <v>39</v>
      </c>
      <c r="B199">
        <v>919942</v>
      </c>
      <c r="C199" t="s">
        <v>41</v>
      </c>
      <c r="D199" t="s">
        <v>2164</v>
      </c>
      <c r="E199" t="s">
        <v>2165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D199" t="s">
        <v>2321</v>
      </c>
      <c r="AE199" t="s">
        <v>2321</v>
      </c>
      <c r="AF199" t="s">
        <v>2321</v>
      </c>
    </row>
    <row r="200" spans="1:32" x14ac:dyDescent="0.35">
      <c r="A200" t="s">
        <v>39</v>
      </c>
      <c r="B200">
        <v>915036</v>
      </c>
      <c r="C200" t="s">
        <v>41</v>
      </c>
      <c r="D200" t="s">
        <v>2172</v>
      </c>
      <c r="E200" t="s">
        <v>74</v>
      </c>
      <c r="F200">
        <v>0</v>
      </c>
      <c r="G200">
        <v>2.2999999999999998</v>
      </c>
      <c r="H200">
        <v>2.2999999999999998</v>
      </c>
      <c r="I200">
        <v>0.99</v>
      </c>
      <c r="J200">
        <v>5.59</v>
      </c>
      <c r="K200">
        <v>5.59</v>
      </c>
      <c r="N200">
        <v>0</v>
      </c>
      <c r="O200">
        <v>236.39</v>
      </c>
      <c r="P200">
        <v>236.39</v>
      </c>
      <c r="Q200">
        <v>101.75</v>
      </c>
      <c r="R200">
        <v>574.53</v>
      </c>
      <c r="S200">
        <v>574.53</v>
      </c>
      <c r="V200">
        <v>0</v>
      </c>
      <c r="W200">
        <v>8.4499999999999993</v>
      </c>
      <c r="X200">
        <v>8.4499999999999993</v>
      </c>
      <c r="Y200">
        <v>3.64</v>
      </c>
      <c r="Z200">
        <v>20.54</v>
      </c>
      <c r="AA200">
        <v>20.54</v>
      </c>
      <c r="AD200" t="s">
        <v>2321</v>
      </c>
      <c r="AE200" t="s">
        <v>2321</v>
      </c>
      <c r="AF200" t="s">
        <v>2321</v>
      </c>
    </row>
    <row r="201" spans="1:32" x14ac:dyDescent="0.35">
      <c r="A201" t="s">
        <v>39</v>
      </c>
      <c r="B201">
        <v>915056</v>
      </c>
      <c r="C201" t="s">
        <v>41</v>
      </c>
      <c r="D201" t="s">
        <v>2186</v>
      </c>
      <c r="E201" t="s">
        <v>1743</v>
      </c>
      <c r="F201">
        <v>0</v>
      </c>
      <c r="G201">
        <v>3</v>
      </c>
      <c r="H201">
        <v>3</v>
      </c>
      <c r="I201">
        <v>3</v>
      </c>
      <c r="J201">
        <v>9</v>
      </c>
      <c r="K201">
        <v>9</v>
      </c>
      <c r="N201">
        <v>0</v>
      </c>
      <c r="O201">
        <v>297.39999999999998</v>
      </c>
      <c r="P201">
        <v>297.39999999999998</v>
      </c>
      <c r="Q201">
        <v>297.39999999999998</v>
      </c>
      <c r="R201">
        <v>892.19999999999993</v>
      </c>
      <c r="S201">
        <v>892.19999999999993</v>
      </c>
      <c r="V201">
        <v>0</v>
      </c>
      <c r="W201">
        <v>10.64</v>
      </c>
      <c r="X201">
        <v>10.64</v>
      </c>
      <c r="Y201">
        <v>10.64</v>
      </c>
      <c r="Z201">
        <v>31.92</v>
      </c>
      <c r="AA201">
        <v>31.92</v>
      </c>
      <c r="AD201" t="s">
        <v>2321</v>
      </c>
      <c r="AE201" t="s">
        <v>2321</v>
      </c>
      <c r="AF201" t="s">
        <v>2321</v>
      </c>
    </row>
    <row r="202" spans="1:32" x14ac:dyDescent="0.35">
      <c r="A202" t="s">
        <v>39</v>
      </c>
      <c r="B202">
        <v>915201</v>
      </c>
      <c r="C202" t="s">
        <v>41</v>
      </c>
      <c r="D202" t="s">
        <v>2193</v>
      </c>
      <c r="E202" t="s">
        <v>2194</v>
      </c>
      <c r="F202">
        <v>0</v>
      </c>
      <c r="G202">
        <v>4.99</v>
      </c>
      <c r="H202">
        <v>4.99</v>
      </c>
      <c r="I202">
        <v>0.51</v>
      </c>
      <c r="J202">
        <v>10.49</v>
      </c>
      <c r="K202">
        <v>10.49</v>
      </c>
      <c r="N202">
        <v>0</v>
      </c>
      <c r="O202">
        <v>811.9</v>
      </c>
      <c r="P202">
        <v>811.9</v>
      </c>
      <c r="Q202">
        <v>82.93</v>
      </c>
      <c r="R202">
        <v>1706.73</v>
      </c>
      <c r="S202">
        <v>1706.73</v>
      </c>
      <c r="V202">
        <v>0</v>
      </c>
      <c r="W202">
        <v>29.06</v>
      </c>
      <c r="X202">
        <v>29.06</v>
      </c>
      <c r="Y202">
        <v>2.97</v>
      </c>
      <c r="Z202">
        <v>61.09</v>
      </c>
      <c r="AA202">
        <v>61.09</v>
      </c>
      <c r="AD202" t="s">
        <v>2321</v>
      </c>
      <c r="AE202" t="s">
        <v>2321</v>
      </c>
      <c r="AF202" t="s">
        <v>2321</v>
      </c>
    </row>
    <row r="203" spans="1:32" x14ac:dyDescent="0.35">
      <c r="A203" t="s">
        <v>39</v>
      </c>
      <c r="B203">
        <v>915200</v>
      </c>
      <c r="C203" t="s">
        <v>41</v>
      </c>
      <c r="D203" t="s">
        <v>2203</v>
      </c>
      <c r="E203" t="s">
        <v>1743</v>
      </c>
      <c r="F203">
        <v>0</v>
      </c>
      <c r="G203">
        <v>3.33</v>
      </c>
      <c r="H203">
        <v>0</v>
      </c>
      <c r="I203">
        <v>0</v>
      </c>
      <c r="J203">
        <v>3.33</v>
      </c>
      <c r="K203">
        <v>3.33</v>
      </c>
      <c r="N203">
        <v>0</v>
      </c>
      <c r="O203">
        <v>330.11</v>
      </c>
      <c r="P203">
        <v>0</v>
      </c>
      <c r="Q203">
        <v>0</v>
      </c>
      <c r="R203">
        <v>330.11</v>
      </c>
      <c r="S203">
        <v>330.11</v>
      </c>
      <c r="V203">
        <v>0</v>
      </c>
      <c r="W203">
        <v>11.81</v>
      </c>
      <c r="X203">
        <v>0</v>
      </c>
      <c r="Y203">
        <v>0</v>
      </c>
      <c r="Z203">
        <v>11.81</v>
      </c>
      <c r="AA203">
        <v>11.81</v>
      </c>
      <c r="AD203" t="s">
        <v>2321</v>
      </c>
      <c r="AE203" t="s">
        <v>2321</v>
      </c>
      <c r="AF203" t="s">
        <v>2321</v>
      </c>
    </row>
    <row r="204" spans="1:32" x14ac:dyDescent="0.35">
      <c r="A204" t="s">
        <v>39</v>
      </c>
      <c r="B204">
        <v>915040</v>
      </c>
      <c r="C204" t="s">
        <v>41</v>
      </c>
      <c r="D204" t="s">
        <v>2208</v>
      </c>
      <c r="E204" t="s">
        <v>74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D204" t="s">
        <v>2321</v>
      </c>
      <c r="AE204" t="s">
        <v>2321</v>
      </c>
      <c r="AF204" t="s">
        <v>2321</v>
      </c>
    </row>
    <row r="205" spans="1:32" x14ac:dyDescent="0.35">
      <c r="A205" t="s">
        <v>39</v>
      </c>
      <c r="B205">
        <v>940227</v>
      </c>
      <c r="C205" t="s">
        <v>41</v>
      </c>
      <c r="D205" t="s">
        <v>2212</v>
      </c>
      <c r="E205" t="s">
        <v>74</v>
      </c>
      <c r="F205">
        <v>0</v>
      </c>
      <c r="G205">
        <v>0</v>
      </c>
      <c r="H205">
        <v>0.06</v>
      </c>
      <c r="I205">
        <v>0</v>
      </c>
      <c r="J205">
        <v>0.06</v>
      </c>
      <c r="K205">
        <v>0.06</v>
      </c>
      <c r="N205">
        <v>0</v>
      </c>
      <c r="O205">
        <v>0</v>
      </c>
      <c r="P205">
        <v>6.48</v>
      </c>
      <c r="Q205">
        <v>0</v>
      </c>
      <c r="R205">
        <v>6.48</v>
      </c>
      <c r="S205">
        <v>6.48</v>
      </c>
      <c r="V205">
        <v>0</v>
      </c>
      <c r="W205">
        <v>0</v>
      </c>
      <c r="X205">
        <v>0.23</v>
      </c>
      <c r="Y205">
        <v>0</v>
      </c>
      <c r="Z205">
        <v>0.23</v>
      </c>
      <c r="AA205">
        <v>0.23</v>
      </c>
      <c r="AD205" t="s">
        <v>2321</v>
      </c>
      <c r="AE205" t="s">
        <v>2321</v>
      </c>
      <c r="AF205" t="s">
        <v>2321</v>
      </c>
    </row>
    <row r="206" spans="1:32" x14ac:dyDescent="0.35">
      <c r="A206" t="s">
        <v>39</v>
      </c>
      <c r="B206">
        <v>935334</v>
      </c>
      <c r="C206" t="s">
        <v>41</v>
      </c>
      <c r="D206" t="s">
        <v>2218</v>
      </c>
      <c r="E206" t="s">
        <v>116</v>
      </c>
      <c r="F206">
        <v>0</v>
      </c>
      <c r="G206">
        <v>18</v>
      </c>
      <c r="H206">
        <v>9</v>
      </c>
      <c r="I206">
        <v>13.5</v>
      </c>
      <c r="J206">
        <v>40.5</v>
      </c>
      <c r="K206">
        <v>40.5</v>
      </c>
      <c r="N206">
        <v>0</v>
      </c>
      <c r="O206">
        <v>62.64</v>
      </c>
      <c r="P206">
        <v>31.32</v>
      </c>
      <c r="Q206">
        <v>46.98</v>
      </c>
      <c r="R206">
        <v>140.94</v>
      </c>
      <c r="S206">
        <v>140.94</v>
      </c>
      <c r="V206">
        <v>0</v>
      </c>
      <c r="W206">
        <v>2.2799999999999998</v>
      </c>
      <c r="X206">
        <v>1.1399999999999999</v>
      </c>
      <c r="Y206">
        <v>1.71</v>
      </c>
      <c r="Z206">
        <v>5.13</v>
      </c>
      <c r="AA206">
        <v>5.13</v>
      </c>
      <c r="AD206" t="s">
        <v>2321</v>
      </c>
      <c r="AE206" t="s">
        <v>2321</v>
      </c>
      <c r="AF206" t="s">
        <v>2321</v>
      </c>
    </row>
    <row r="207" spans="1:32" x14ac:dyDescent="0.35">
      <c r="A207" t="s">
        <v>39</v>
      </c>
      <c r="B207">
        <v>934281</v>
      </c>
      <c r="C207" t="s">
        <v>41</v>
      </c>
      <c r="D207" t="s">
        <v>2227</v>
      </c>
      <c r="E207" t="s">
        <v>2228</v>
      </c>
      <c r="F207">
        <v>0</v>
      </c>
      <c r="G207">
        <v>0.65</v>
      </c>
      <c r="H207">
        <v>0.65</v>
      </c>
      <c r="I207">
        <v>0.65</v>
      </c>
      <c r="J207">
        <v>1.95</v>
      </c>
      <c r="K207">
        <v>1.95</v>
      </c>
      <c r="N207">
        <v>0</v>
      </c>
      <c r="O207">
        <v>780</v>
      </c>
      <c r="P207">
        <v>780</v>
      </c>
      <c r="Q207">
        <v>780</v>
      </c>
      <c r="R207">
        <v>2340</v>
      </c>
      <c r="S207">
        <v>2340</v>
      </c>
      <c r="V207">
        <v>0</v>
      </c>
      <c r="W207">
        <v>27.9</v>
      </c>
      <c r="X207">
        <v>27.9</v>
      </c>
      <c r="Y207">
        <v>27.9</v>
      </c>
      <c r="Z207">
        <v>83.699999999999989</v>
      </c>
      <c r="AA207">
        <v>83.699999999999989</v>
      </c>
      <c r="AD207" t="s">
        <v>2321</v>
      </c>
      <c r="AE207" t="s">
        <v>2321</v>
      </c>
      <c r="AF207" t="s">
        <v>2321</v>
      </c>
    </row>
  </sheetData>
  <pageMargins left="0.75" right="0.75" top="1" bottom="1" header="0.5" footer="0.5"/>
  <headerFooter>
    <oddHeader>&amp;C&amp;"Aptos"&amp;10&amp;K4A569E Internal&amp;1#_x000D_&amp;"Calibri"&amp;11&amp;K000000&amp;"Calibri"&amp;11&amp;K000000&amp;"Aptos"&amp;1 &amp;K4A569E Internal#_x000D_</oddHeader>
  </headerFooter>
</worksheet>
</file>

<file path=docMetadata/LabelInfo.xml><?xml version="1.0" encoding="utf-8"?>
<clbl:labelList xmlns:clbl="http://schemas.microsoft.com/office/2020/mipLabelMetadata">
  <clbl:label id="{9e3dcb88-8425-4e1d-b1a3-bd5572915bbc}" enabled="1" method="Privileged" siteId="{aca3c8d6-aa71-4e1a-a10e-03572fc58c0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Data_Historique</vt:lpstr>
      <vt:lpstr>trend_analysis </vt:lpstr>
      <vt:lpstr>Analyse_Tendances</vt:lpstr>
      <vt:lpstr>Forecast_2027</vt:lpstr>
      <vt:lpstr>Accuracy_Tracker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Kamoun, Salma /FR</cp:lastModifiedBy>
  <dcterms:created xsi:type="dcterms:W3CDTF">2026-09-14T12:17:06Z</dcterms:created>
  <dcterms:modified xsi:type="dcterms:W3CDTF">2026-09-16T08:46:22Z</dcterms:modified>
</cp:coreProperties>
</file>